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uman\Documents\Learning\Microsoft Excel Course\Kenji Explains\"/>
    </mc:Choice>
  </mc:AlternateContent>
  <xr:revisionPtr revIDLastSave="0" documentId="13_ncr:1_{7ED3A0DC-D41A-488E-B86C-88A7044FE5DD}" xr6:coauthVersionLast="47" xr6:coauthVersionMax="47" xr10:uidLastSave="{00000000-0000-0000-0000-000000000000}"/>
  <bookViews>
    <workbookView xWindow="-108" yWindow="-108" windowWidth="23256" windowHeight="12456" xr2:uid="{0BB938BC-CA60-4B72-9F71-6D8FB8986256}"/>
  </bookViews>
  <sheets>
    <sheet name="Invoice" sheetId="1" r:id="rId1"/>
    <sheet name="Seller" sheetId="2" state="veryHidden" r:id="rId2"/>
    <sheet name="Order" sheetId="3" state="veryHidden" r:id="rId3"/>
    <sheet name="Transaction" sheetId="4" state="veryHidden" r:id="rId4"/>
  </sheets>
  <functionGroups builtInGroupCount="19"/>
  <definedNames>
    <definedName name="_xlnm.Print_Area" localSheetId="0">Invoice!$A$1:$H$57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8" i="1" l="1"/>
  <c r="G33" i="1"/>
  <c r="A6" i="1"/>
  <c r="H23" i="1"/>
  <c r="H22" i="1"/>
  <c r="H21" i="1"/>
  <c r="A33" i="1" s="1"/>
  <c r="H20" i="1"/>
  <c r="H19" i="1"/>
  <c r="H18" i="1"/>
  <c r="H17" i="1"/>
  <c r="H16" i="1"/>
  <c r="H15" i="1"/>
  <c r="H14" i="1"/>
  <c r="H10" i="1"/>
  <c r="H9" i="1"/>
  <c r="H8" i="1"/>
  <c r="H7" i="1"/>
  <c r="H6" i="1"/>
  <c r="A22" i="1"/>
  <c r="A13" i="1"/>
  <c r="A12" i="1"/>
  <c r="A9" i="1"/>
  <c r="A8" i="1"/>
  <c r="A7" i="1"/>
  <c r="A27" i="1" a="1"/>
  <c r="A27" i="1" l="1"/>
  <c r="B34" i="1"/>
  <c r="A34" i="1"/>
  <c r="H33" i="1"/>
  <c r="B33" i="1"/>
  <c r="H3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<sst xmlns="http://schemas.openxmlformats.org/spreadsheetml/2006/main" count="1425" uniqueCount="366">
  <si>
    <t>Tax Invoice/Bill of Supply/Cash Memo</t>
  </si>
  <si>
    <t>(Original for Recipient)</t>
  </si>
  <si>
    <t>Sold By :</t>
  </si>
  <si>
    <t>Billing Address:</t>
  </si>
  <si>
    <t>Order Number</t>
  </si>
  <si>
    <t>Description</t>
  </si>
  <si>
    <t>Seller</t>
  </si>
  <si>
    <t>PAN No</t>
  </si>
  <si>
    <t>GST Registration No</t>
  </si>
  <si>
    <t>Order Date</t>
  </si>
  <si>
    <t>Name</t>
  </si>
  <si>
    <t>Address 1</t>
  </si>
  <si>
    <t>State</t>
  </si>
  <si>
    <t>Country</t>
  </si>
  <si>
    <t>Address2</t>
  </si>
  <si>
    <t>Shipping Address 1</t>
  </si>
  <si>
    <t>Shipping Address 2</t>
  </si>
  <si>
    <t>Suman Adhikary</t>
  </si>
  <si>
    <t>TAMLUK, WEST BENGAL, 721636</t>
  </si>
  <si>
    <t>IN</t>
  </si>
  <si>
    <t>Shipping Country</t>
  </si>
  <si>
    <t>Billing Address 1</t>
  </si>
  <si>
    <t>Billing Address 2</t>
  </si>
  <si>
    <t>Billing Country</t>
  </si>
  <si>
    <t>Billing State/UT Code</t>
  </si>
  <si>
    <t>Shipping State/UT Code</t>
  </si>
  <si>
    <t>Place of supply</t>
  </si>
  <si>
    <t>Place of delivery</t>
  </si>
  <si>
    <t>Invoice Number</t>
  </si>
  <si>
    <t>Invoice Details</t>
  </si>
  <si>
    <t>Invoice Date</t>
  </si>
  <si>
    <t>Unit Price</t>
  </si>
  <si>
    <t>Qty</t>
  </si>
  <si>
    <t>Net Amount</t>
  </si>
  <si>
    <t>Payment Transaction ID</t>
  </si>
  <si>
    <t>Data &amp; Time</t>
  </si>
  <si>
    <t>Mode of Payment</t>
  </si>
  <si>
    <t>CLICKTECH RETAIL PRIVATE LIMITED</t>
  </si>
  <si>
    <t>407-1972455-3254746</t>
  </si>
  <si>
    <t>Amta Industrial Park, Amta, Mouza, Majukhetra, bearing survey no.301</t>
  </si>
  <si>
    <t>Kolkata, West Bengal, 711401</t>
  </si>
  <si>
    <t>West Bengal</t>
  </si>
  <si>
    <t>AAJCC9783E</t>
  </si>
  <si>
    <t>19AAJCC9783E1Z4</t>
  </si>
  <si>
    <t>407-3355423-2103523</t>
  </si>
  <si>
    <t>Darshita Aashiyana Pvt Ltd</t>
  </si>
  <si>
    <t>NDR Vanshil, warehouse Park LLP, raghudevpur, Panchla, Howrah</t>
  </si>
  <si>
    <t>Kolkata, West Bengal, 711322</t>
  </si>
  <si>
    <t>AAFCD6883Q</t>
  </si>
  <si>
    <t>19AAFCD6883Q1ZN</t>
  </si>
  <si>
    <t>Shippling Name</t>
  </si>
  <si>
    <t>WEST BENGAL</t>
  </si>
  <si>
    <t>SCCE-31466</t>
  </si>
  <si>
    <t>WB-SCCE-297683823-2425</t>
  </si>
  <si>
    <t>Samsung 27-inch (68.59cm) FHD, IPS, 100 Hz, 1920 x 1080 Flat Monitor, Bezel Less Design, AMD FreeSync, Flicker Free, HDMI, Display Port (LS27C330GAWXXL, Black) | B0CXT1BNVG ( B0CXT1BNVG ) HSN:85284900</t>
  </si>
  <si>
    <t>1113ZMieEi5NKbQR7Nnhj0Pk7</t>
  </si>
  <si>
    <t>1DjB8fvcT6HBytwmLe31</t>
  </si>
  <si>
    <t>06/10/2024, 20:50:36 hrs</t>
  </si>
  <si>
    <t>Promotion</t>
  </si>
  <si>
    <t>Credit Card</t>
  </si>
  <si>
    <t>CCX1-382030</t>
  </si>
  <si>
    <t>WB-CCX1-1224631255-2425</t>
  </si>
  <si>
    <t>realme NARZO N65 5G (Deep Green 4GB RAM, 128GB Storage) India's 1st D6300 5G Chipset | Ultra Slim 190g Design | 120Hz Eye Comfort Display | 50MP AI Camera| Charger in The Box | B0D3GY8SC1 ( RLMNARZON655G-GRN-4+128GB) HSN:85171300</t>
  </si>
  <si>
    <t>1111BLHku9U4ueOcvgIJGMVy8</t>
  </si>
  <si>
    <t>05/10/2024, 12:03:49 hrs</t>
  </si>
  <si>
    <t>GitCard</t>
  </si>
  <si>
    <t>1113YArye8Snf7fyQnlzfViaj</t>
  </si>
  <si>
    <t>AmazonPay</t>
  </si>
  <si>
    <t xml:space="preserve">Shipping Address: </t>
  </si>
  <si>
    <t>1, Uttarchara Sankarara,Stimarghat,Ward no-14,Purba Medinipur</t>
  </si>
  <si>
    <t>Tax Rate</t>
  </si>
  <si>
    <t>Tax Type</t>
  </si>
  <si>
    <t>Redmi 13C 5G (Starlight Black, 4GB RAM, 128GB Storage) | MediaTek Dimensity 6100+ 5G | 90Hz Display</t>
  </si>
  <si>
    <t>1111BLHku9U4ueOcvgIJGMVy9</t>
  </si>
  <si>
    <t>1111BLHku9U4ueOcvgIJGMVy10</t>
  </si>
  <si>
    <t>1111BLHku9U4ueOcvgIJGMVy11</t>
  </si>
  <si>
    <t>1111BLHku9U4ueOcvgIJGMVy12</t>
  </si>
  <si>
    <t>realme NARZO N61 (Marble Black, 4GB RAM+64GB Storage) 90Hz Eye Comfort Display | IP54 Dust &amp; Water Resistance | 48-Month Fluency | Charger in The Box</t>
  </si>
  <si>
    <t>iQOO Z9 Lite 5G (Aqua Flow, 6GB RAM, 128GB Storage) | Dimensity 6300 5G | 50MP Sony AI Camera | Charger in The Box</t>
  </si>
  <si>
    <t>POCO M6 5G (Galactic Black, 4GB RAM, 64GB Storage) | MediaTek Dimensity 6100+ 5G Processor | 5000 mAh Battery + 18W Fast Charging | 50 MP AI Dual-Camera System &amp; Side Fingerprint Sensor</t>
  </si>
  <si>
    <t>Whether tax is payable under reverse charge - No</t>
  </si>
  <si>
    <t>Total</t>
  </si>
  <si>
    <t>Total CGST</t>
  </si>
  <si>
    <t>Final Value</t>
  </si>
  <si>
    <t>Amount</t>
  </si>
  <si>
    <t>Select Order Number</t>
  </si>
  <si>
    <t>######</t>
  </si>
  <si>
    <t xml:space="preserve">Order Number: </t>
  </si>
  <si>
    <t>Kolkata, West Bengal, 711323</t>
  </si>
  <si>
    <t>Kolkata, West Bengal, 711324</t>
  </si>
  <si>
    <t>Kolkata, West Bengal, 711325</t>
  </si>
  <si>
    <t>Kolkata, West Bengal, 711326</t>
  </si>
  <si>
    <t>Kolkata, West Bengal, 711327</t>
  </si>
  <si>
    <t>Kolkata, West Bengal, 711328</t>
  </si>
  <si>
    <t>Kolkata, West Bengal, 711329</t>
  </si>
  <si>
    <t>Kolkata, West Bengal, 711330</t>
  </si>
  <si>
    <t>Kolkata, West Bengal, 711331</t>
  </si>
  <si>
    <t>Kolkata, West Bengal, 711332</t>
  </si>
  <si>
    <t>Kolkata, West Bengal, 711333</t>
  </si>
  <si>
    <t>Kolkata, West Bengal, 711334</t>
  </si>
  <si>
    <t>Kolkata, West Bengal, 711335</t>
  </si>
  <si>
    <t>Kolkata, West Bengal, 711336</t>
  </si>
  <si>
    <t>Kolkata, West Bengal, 711337</t>
  </si>
  <si>
    <t>Kolkata, West Bengal, 711338</t>
  </si>
  <si>
    <t>Kolkata, West Bengal, 711339</t>
  </si>
  <si>
    <t>Kolkata, West Bengal, 711340</t>
  </si>
  <si>
    <t>Kolkata, West Bengal, 711341</t>
  </si>
  <si>
    <t>Kolkata, West Bengal, 711342</t>
  </si>
  <si>
    <t>Kolkata, West Bengal, 711343</t>
  </si>
  <si>
    <t>Kolkata, West Bengal, 711344</t>
  </si>
  <si>
    <t>Kolkata, West Bengal, 711345</t>
  </si>
  <si>
    <t>Kolkata, West Bengal, 711346</t>
  </si>
  <si>
    <t>Kolkata, West Bengal, 711347</t>
  </si>
  <si>
    <t>Kolkata, West Bengal, 711348</t>
  </si>
  <si>
    <t>Kolkata, West Bengal, 711349</t>
  </si>
  <si>
    <t>Kolkata, West Bengal, 711350</t>
  </si>
  <si>
    <t>Kolkata, West Bengal, 711351</t>
  </si>
  <si>
    <t>Kolkata, West Bengal, 711352</t>
  </si>
  <si>
    <t>Kolkata, West Bengal, 711353</t>
  </si>
  <si>
    <t>Kolkata, West Bengal, 711354</t>
  </si>
  <si>
    <t>Kolkata, West Bengal, 711355</t>
  </si>
  <si>
    <t>Kolkata, West Bengal, 711356</t>
  </si>
  <si>
    <t>Kolkata, West Bengal, 711357</t>
  </si>
  <si>
    <t>Kolkata, West Bengal, 711358</t>
  </si>
  <si>
    <t>407-3355423-2103524</t>
  </si>
  <si>
    <t>TAMLUK, WEST BENGAL, 721637</t>
  </si>
  <si>
    <t>CCX1-382031</t>
  </si>
  <si>
    <t>WB-CCX1-1224631255-2426</t>
  </si>
  <si>
    <t>407-3355423-2103525</t>
  </si>
  <si>
    <t>TAMLUK, WEST BENGAL, 721638</t>
  </si>
  <si>
    <t>CCX1-382032</t>
  </si>
  <si>
    <t>WB-CCX1-1224631255-2427</t>
  </si>
  <si>
    <t>407-3355423-2103526</t>
  </si>
  <si>
    <t>TAMLUK, WEST BENGAL, 721639</t>
  </si>
  <si>
    <t>CCX1-382033</t>
  </si>
  <si>
    <t>WB-CCX1-1224631255-2428</t>
  </si>
  <si>
    <t>407-3355423-2103527</t>
  </si>
  <si>
    <t>TAMLUK, WEST BENGAL, 721640</t>
  </si>
  <si>
    <t>CCX1-382034</t>
  </si>
  <si>
    <t>WB-CCX1-1224631255-2429</t>
  </si>
  <si>
    <t>407-3355423-2103528</t>
  </si>
  <si>
    <t>TAMLUK, WEST BENGAL, 721641</t>
  </si>
  <si>
    <t>CCX1-382035</t>
  </si>
  <si>
    <t>WB-CCX1-1224631255-2430</t>
  </si>
  <si>
    <t>407-3355423-2103529</t>
  </si>
  <si>
    <t>TAMLUK, WEST BENGAL, 721642</t>
  </si>
  <si>
    <t>CCX1-382036</t>
  </si>
  <si>
    <t>WB-CCX1-1224631255-2431</t>
  </si>
  <si>
    <t>407-3355423-2103530</t>
  </si>
  <si>
    <t>TAMLUK, WEST BENGAL, 721643</t>
  </si>
  <si>
    <t>CCX1-382037</t>
  </si>
  <si>
    <t>WB-CCX1-1224631255-2432</t>
  </si>
  <si>
    <t>407-3355423-2103531</t>
  </si>
  <si>
    <t>TAMLUK, WEST BENGAL, 721644</t>
  </si>
  <si>
    <t>CCX1-382038</t>
  </si>
  <si>
    <t>WB-CCX1-1224631255-2433</t>
  </si>
  <si>
    <t>407-3355423-2103532</t>
  </si>
  <si>
    <t>TAMLUK, WEST BENGAL, 721645</t>
  </si>
  <si>
    <t>CCX1-382039</t>
  </si>
  <si>
    <t>WB-CCX1-1224631255-2434</t>
  </si>
  <si>
    <t>407-3355423-2103533</t>
  </si>
  <si>
    <t>TAMLUK, WEST BENGAL, 721646</t>
  </si>
  <si>
    <t>CCX1-382040</t>
  </si>
  <si>
    <t>WB-CCX1-1224631255-2435</t>
  </si>
  <si>
    <t>407-3355423-2103534</t>
  </si>
  <si>
    <t>TAMLUK, WEST BENGAL, 721647</t>
  </si>
  <si>
    <t>CCX1-382041</t>
  </si>
  <si>
    <t>WB-CCX1-1224631255-2436</t>
  </si>
  <si>
    <t>407-3355423-2103535</t>
  </si>
  <si>
    <t>TAMLUK, WEST BENGAL, 721648</t>
  </si>
  <si>
    <t>CCX1-382042</t>
  </si>
  <si>
    <t>WB-CCX1-1224631255-2437</t>
  </si>
  <si>
    <t>407-3355423-2103536</t>
  </si>
  <si>
    <t>TAMLUK, WEST BENGAL, 721649</t>
  </si>
  <si>
    <t>CCX1-382043</t>
  </si>
  <si>
    <t>WB-CCX1-1224631255-2438</t>
  </si>
  <si>
    <t>407-3355423-2103537</t>
  </si>
  <si>
    <t>TAMLUK, WEST BENGAL, 721650</t>
  </si>
  <si>
    <t>CCX1-382044</t>
  </si>
  <si>
    <t>WB-CCX1-1224631255-2439</t>
  </si>
  <si>
    <t>407-3355423-2103538</t>
  </si>
  <si>
    <t>TAMLUK, WEST BENGAL, 721651</t>
  </si>
  <si>
    <t>CCX1-382045</t>
  </si>
  <si>
    <t>WB-CCX1-1224631255-2440</t>
  </si>
  <si>
    <t>407-3355423-2103539</t>
  </si>
  <si>
    <t>TAMLUK, WEST BENGAL, 721652</t>
  </si>
  <si>
    <t>CCX1-382046</t>
  </si>
  <si>
    <t>WB-CCX1-1224631255-2441</t>
  </si>
  <si>
    <t>407-3355423-2103540</t>
  </si>
  <si>
    <t>TAMLUK, WEST BENGAL, 721653</t>
  </si>
  <si>
    <t>CCX1-382047</t>
  </si>
  <si>
    <t>WB-CCX1-1224631255-2442</t>
  </si>
  <si>
    <t>407-3355423-2103541</t>
  </si>
  <si>
    <t>TAMLUK, WEST BENGAL, 721654</t>
  </si>
  <si>
    <t>CCX1-382048</t>
  </si>
  <si>
    <t>WB-CCX1-1224631255-2443</t>
  </si>
  <si>
    <t>407-3355423-2103542</t>
  </si>
  <si>
    <t>TAMLUK, WEST BENGAL, 721655</t>
  </si>
  <si>
    <t>CCX1-382049</t>
  </si>
  <si>
    <t>WB-CCX1-1224631255-2444</t>
  </si>
  <si>
    <t>407-3355423-2103543</t>
  </si>
  <si>
    <t>TAMLUK, WEST BENGAL, 721656</t>
  </si>
  <si>
    <t>CCX1-382050</t>
  </si>
  <si>
    <t>WB-CCX1-1224631255-2445</t>
  </si>
  <si>
    <t>407-3355423-2103544</t>
  </si>
  <si>
    <t>TAMLUK, WEST BENGAL, 721657</t>
  </si>
  <si>
    <t>CCX1-382051</t>
  </si>
  <si>
    <t>WB-CCX1-1224631255-2446</t>
  </si>
  <si>
    <t>407-3355423-2103545</t>
  </si>
  <si>
    <t>TAMLUK, WEST BENGAL, 721658</t>
  </si>
  <si>
    <t>CCX1-382052</t>
  </si>
  <si>
    <t>WB-CCX1-1224631255-2447</t>
  </si>
  <si>
    <t>407-3355423-2103546</t>
  </si>
  <si>
    <t>TAMLUK, WEST BENGAL, 721659</t>
  </si>
  <si>
    <t>CCX1-382053</t>
  </si>
  <si>
    <t>WB-CCX1-1224631255-2448</t>
  </si>
  <si>
    <t>407-3355423-2103547</t>
  </si>
  <si>
    <t>TAMLUK, WEST BENGAL, 721660</t>
  </si>
  <si>
    <t>CCX1-382054</t>
  </si>
  <si>
    <t>WB-CCX1-1224631255-2449</t>
  </si>
  <si>
    <t>407-3355423-2103548</t>
  </si>
  <si>
    <t>TAMLUK, WEST BENGAL, 721661</t>
  </si>
  <si>
    <t>CCX1-382055</t>
  </si>
  <si>
    <t>WB-CCX1-1224631255-2450</t>
  </si>
  <si>
    <t>407-3355423-2103549</t>
  </si>
  <si>
    <t>TAMLUK, WEST BENGAL, 721662</t>
  </si>
  <si>
    <t>CCX1-382056</t>
  </si>
  <si>
    <t>WB-CCX1-1224631255-2451</t>
  </si>
  <si>
    <t>407-3355423-2103550</t>
  </si>
  <si>
    <t>TAMLUK, WEST BENGAL, 721663</t>
  </si>
  <si>
    <t>CCX1-382057</t>
  </si>
  <si>
    <t>WB-CCX1-1224631255-2452</t>
  </si>
  <si>
    <t>407-3355423-2103551</t>
  </si>
  <si>
    <t>TAMLUK, WEST BENGAL, 721664</t>
  </si>
  <si>
    <t>CCX1-382058</t>
  </si>
  <si>
    <t>WB-CCX1-1224631255-2453</t>
  </si>
  <si>
    <t>407-3355423-2103552</t>
  </si>
  <si>
    <t>TAMLUK, WEST BENGAL, 721665</t>
  </si>
  <si>
    <t>CCX1-382059</t>
  </si>
  <si>
    <t>WB-CCX1-1224631255-2454</t>
  </si>
  <si>
    <t>407-3355423-2103553</t>
  </si>
  <si>
    <t>TAMLUK, WEST BENGAL, 721666</t>
  </si>
  <si>
    <t>CCX1-382060</t>
  </si>
  <si>
    <t>WB-CCX1-1224631255-2455</t>
  </si>
  <si>
    <t>407-3355423-2103554</t>
  </si>
  <si>
    <t>TAMLUK, WEST BENGAL, 721667</t>
  </si>
  <si>
    <t>CCX1-382061</t>
  </si>
  <si>
    <t>WB-CCX1-1224631255-2456</t>
  </si>
  <si>
    <t>407-3355423-2103555</t>
  </si>
  <si>
    <t>TAMLUK, WEST BENGAL, 721668</t>
  </si>
  <si>
    <t>CCX1-382062</t>
  </si>
  <si>
    <t>WB-CCX1-1224631255-2457</t>
  </si>
  <si>
    <t>407-3355423-2103556</t>
  </si>
  <si>
    <t>TAMLUK, WEST BENGAL, 721669</t>
  </si>
  <si>
    <t>CCX1-382063</t>
  </si>
  <si>
    <t>WB-CCX1-1224631255-2458</t>
  </si>
  <si>
    <t>407-3355423-2103557</t>
  </si>
  <si>
    <t>TAMLUK, WEST BENGAL, 721670</t>
  </si>
  <si>
    <t>CCX1-382064</t>
  </si>
  <si>
    <t>WB-CCX1-1224631255-2459</t>
  </si>
  <si>
    <t>407-3355423-2103558</t>
  </si>
  <si>
    <t>TAMLUK, WEST BENGAL, 721671</t>
  </si>
  <si>
    <t>CCX1-382065</t>
  </si>
  <si>
    <t>WB-CCX1-1224631255-2460</t>
  </si>
  <si>
    <t>407-3355423-2103559</t>
  </si>
  <si>
    <t>TAMLUK, WEST BENGAL, 721672</t>
  </si>
  <si>
    <t>CCX1-382066</t>
  </si>
  <si>
    <t>WB-CCX1-1224631255-2461</t>
  </si>
  <si>
    <t>407-3355423-2103560</t>
  </si>
  <si>
    <t>TAMLUK, WEST BENGAL, 721673</t>
  </si>
  <si>
    <t>CCX1-382067</t>
  </si>
  <si>
    <t>WB-CCX1-1224631255-2462</t>
  </si>
  <si>
    <t>407-3355423-2103561</t>
  </si>
  <si>
    <t>TAMLUK, WEST BENGAL, 721674</t>
  </si>
  <si>
    <t>CCX1-382068</t>
  </si>
  <si>
    <t>WB-CCX1-1224631255-2463</t>
  </si>
  <si>
    <t>407-3355423-2103562</t>
  </si>
  <si>
    <t>TAMLUK, WEST BENGAL, 721675</t>
  </si>
  <si>
    <t>CCX1-382069</t>
  </si>
  <si>
    <t>WB-CCX1-1224631255-2464</t>
  </si>
  <si>
    <t>407-3355423-2103563</t>
  </si>
  <si>
    <t>TAMLUK, WEST BENGAL, 721676</t>
  </si>
  <si>
    <t>CCX1-382070</t>
  </si>
  <si>
    <t>WB-CCX1-1224631255-2465</t>
  </si>
  <si>
    <t>407-3355423-2103564</t>
  </si>
  <si>
    <t>TAMLUK, WEST BENGAL, 721677</t>
  </si>
  <si>
    <t>CCX1-382071</t>
  </si>
  <si>
    <t>WB-CCX1-1224631255-2466</t>
  </si>
  <si>
    <t>407-3355423-2103565</t>
  </si>
  <si>
    <t>TAMLUK, WEST BENGAL, 721678</t>
  </si>
  <si>
    <t>CCX1-382072</t>
  </si>
  <si>
    <t>WB-CCX1-1224631255-2467</t>
  </si>
  <si>
    <t>407-3355423-2103566</t>
  </si>
  <si>
    <t>TAMLUK, WEST BENGAL, 721679</t>
  </si>
  <si>
    <t>CCX1-382073</t>
  </si>
  <si>
    <t>WB-CCX1-1224631255-2468</t>
  </si>
  <si>
    <t>407-3355423-2103567</t>
  </si>
  <si>
    <t>TAMLUK, WEST BENGAL, 721680</t>
  </si>
  <si>
    <t>CCX1-382074</t>
  </si>
  <si>
    <t>WB-CCX1-1224631255-2469</t>
  </si>
  <si>
    <t>407-3355423-2103568</t>
  </si>
  <si>
    <t>TAMLUK, WEST BENGAL, 721681</t>
  </si>
  <si>
    <t>CCX1-382075</t>
  </si>
  <si>
    <t>WB-CCX1-1224631255-2470</t>
  </si>
  <si>
    <t>407-3355423-2103569</t>
  </si>
  <si>
    <t>TAMLUK, WEST BENGAL, 721682</t>
  </si>
  <si>
    <t>CCX1-382076</t>
  </si>
  <si>
    <t>WB-CCX1-1224631255-2471</t>
  </si>
  <si>
    <t>407-3355423-2103570</t>
  </si>
  <si>
    <t>TAMLUK, WEST BENGAL, 721683</t>
  </si>
  <si>
    <t>CCX1-382077</t>
  </si>
  <si>
    <t>WB-CCX1-1224631255-2472</t>
  </si>
  <si>
    <t>Kolkata, West Bengal, 711359</t>
  </si>
  <si>
    <t>Kolkata, West Bengal, 711360</t>
  </si>
  <si>
    <t>Kolkata, West Bengal, 711361</t>
  </si>
  <si>
    <t>Kolkata, West Bengal, 711362</t>
  </si>
  <si>
    <t>Kolkata, West Bengal, 711363</t>
  </si>
  <si>
    <t>Kolkata, West Bengal, 711364</t>
  </si>
  <si>
    <t>Kolkata, West Bengal, 711365</t>
  </si>
  <si>
    <t>Kolkata, West Bengal, 711366</t>
  </si>
  <si>
    <t>Kolkata, West Bengal, 711367</t>
  </si>
  <si>
    <t>Kolkata, West Bengal, 711368</t>
  </si>
  <si>
    <t>1111BLHku9U4ueOcvgIJGMVy13</t>
  </si>
  <si>
    <t>1111BLHku9U4ueOcvgIJGMVy14</t>
  </si>
  <si>
    <t>1111BLHku9U4ueOcvgIJGMVy15</t>
  </si>
  <si>
    <t>1111BLHku9U4ueOcvgIJGMVy16</t>
  </si>
  <si>
    <t>1111BLHku9U4ueOcvgIJGMVy17</t>
  </si>
  <si>
    <t>1111BLHku9U4ueOcvgIJGMVy18</t>
  </si>
  <si>
    <t>1111BLHku9U4ueOcvgIJGMVy19</t>
  </si>
  <si>
    <t>1111BLHku9U4ueOcvgIJGMVy20</t>
  </si>
  <si>
    <t>1111BLHku9U4ueOcvgIJGMVy21</t>
  </si>
  <si>
    <t>1111BLHku9U4ueOcvgIJGMVy22</t>
  </si>
  <si>
    <t>1111BLHku9U4ueOcvgIJGMVy23</t>
  </si>
  <si>
    <t>1111BLHku9U4ueOcvgIJGMVy24</t>
  </si>
  <si>
    <t>1111BLHku9U4ueOcvgIJGMVy25</t>
  </si>
  <si>
    <t>1111BLHku9U4ueOcvgIJGMVy26</t>
  </si>
  <si>
    <t>1111BLHku9U4ueOcvgIJGMVy27</t>
  </si>
  <si>
    <t>1111BLHku9U4ueOcvgIJGMVy28</t>
  </si>
  <si>
    <t>1111BLHku9U4ueOcvgIJGMVy29</t>
  </si>
  <si>
    <t>1111BLHku9U4ueOcvgIJGMVy30</t>
  </si>
  <si>
    <t>1111BLHku9U4ueOcvgIJGMVy31</t>
  </si>
  <si>
    <t>1111BLHku9U4ueOcvgIJGMVy32</t>
  </si>
  <si>
    <t>1111BLHku9U4ueOcvgIJGMVy33</t>
  </si>
  <si>
    <t>1111BLHku9U4ueOcvgIJGMVy34</t>
  </si>
  <si>
    <t>1111BLHku9U4ueOcvgIJGMVy35</t>
  </si>
  <si>
    <t>1111BLHku9U4ueOcvgIJGMVy36</t>
  </si>
  <si>
    <t>1111BLHku9U4ueOcvgIJGMVy37</t>
  </si>
  <si>
    <t>1111BLHku9U4ueOcvgIJGMVy38</t>
  </si>
  <si>
    <t>1111BLHku9U4ueOcvgIJGMVy39</t>
  </si>
  <si>
    <t>1111BLHku9U4ueOcvgIJGMVy40</t>
  </si>
  <si>
    <t>1111BLHku9U4ueOcvgIJGMVy41</t>
  </si>
  <si>
    <t>1111BLHku9U4ueOcvgIJGMVy42</t>
  </si>
  <si>
    <t>1111BLHku9U4ueOcvgIJGMVy43</t>
  </si>
  <si>
    <t>1111BLHku9U4ueOcvgIJGMVy44</t>
  </si>
  <si>
    <t>1111BLHku9U4ueOcvgIJGMVy45</t>
  </si>
  <si>
    <t>1111BLHku9U4ueOcvgIJGMVy46</t>
  </si>
  <si>
    <t>1111BLHku9U4ueOcvgIJGMVy47</t>
  </si>
  <si>
    <t>1111BLHku9U4ueOcvgIJGMVy48</t>
  </si>
  <si>
    <t>1111BLHku9U4ueOcvgIJGMVy49</t>
  </si>
  <si>
    <t>1111BLHku9U4ueOcvgIJGMVy50</t>
  </si>
  <si>
    <t>1111BLHku9U4ueOcvgIJGMVy51</t>
  </si>
  <si>
    <t>1111BLHku9U4ueOcvgIJGMVy52</t>
  </si>
  <si>
    <t>1111BLHku9U4ueOcvgIJGMVy53</t>
  </si>
  <si>
    <t>1111BLHku9U4ueOcvgIJGMVy54</t>
  </si>
  <si>
    <t>1111BLHku9U4ueOcvgIJGMVy55</t>
  </si>
  <si>
    <t>Kolkata, West Bengal, 711369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</si>
</sst>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7" formatCode="&quot;₹&quot;\ #,##0.00;&quot;₹&quot;\ \-#,##0.00"/>
    <numFmt numFmtId="44" formatCode="_ &quot;₹&quot;\ * #,##0.00_ ;_ &quot;₹&quot;\ * \-#,##0.00_ ;_ &quot;₹&quot;\ * &quot;-&quot;??_ ;_ @_ "/>
    <numFmt numFmtId="164" formatCode="_ [$₹-4009]\ * #,##0.00_ ;_ [$₹-4009]\ * \-#,##0.00_ ;_ [$₹-4009]\ * &quot;-&quot;??_ ;_ @_ "/>
  </numFmts>
  <fonts count="7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theme="0" tint="-0.14999847407452621"/>
      </patternFill>
    </fill>
  </fills>
  <borders count="1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theme="1"/>
      </top>
      <bottom style="medium">
        <color theme="4" tint="0.39997558519241921"/>
      </bottom>
      <diagonal/>
    </border>
    <border>
      <left/>
      <right/>
      <top/>
      <bottom style="medium">
        <color theme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2">
    <xf numFmtId="0" fontId="0" fillId="0" borderId="0" xfId="0"/>
    <xf numFmtId="0" fontId="0" fillId="0" borderId="0" xfId="0" applyBorder="1"/>
    <xf numFmtId="0" fontId="0" fillId="0" borderId="0" xfId="0" applyBorder="1" applyAlignment="1">
      <alignment wrapText="1"/>
    </xf>
    <xf numFmtId="0" fontId="0" fillId="0" borderId="0" xfId="0" applyAlignment="1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Alignment="1">
      <alignment shrinkToFit="1"/>
    </xf>
    <xf numFmtId="0" fontId="0" fillId="0" borderId="0" xfId="0" applyBorder="1" applyAlignment="1"/>
    <xf numFmtId="0" fontId="0" fillId="0" borderId="0" xfId="0" applyBorder="1" applyAlignment="1">
      <alignment horizontal="right" wrapText="1"/>
    </xf>
    <xf numFmtId="0" fontId="0" fillId="0" borderId="0" xfId="0" applyAlignment="1">
      <alignment horizontal="right" wrapText="1"/>
    </xf>
    <xf numFmtId="0" fontId="2" fillId="0" borderId="0" xfId="0" applyFont="1" applyAlignment="1">
      <alignment horizontal="right"/>
    </xf>
    <xf numFmtId="0" fontId="0" fillId="0" borderId="0" xfId="0" applyAlignment="1">
      <alignment vertical="top"/>
    </xf>
    <xf numFmtId="0" fontId="0" fillId="0" borderId="2" xfId="0" applyFont="1" applyBorder="1" applyAlignment="1">
      <alignment horizontal="left" vertical="top" wrapText="1"/>
    </xf>
    <xf numFmtId="0" fontId="0" fillId="2" borderId="2" xfId="0" applyFont="1" applyFill="1" applyBorder="1" applyAlignment="1">
      <alignment horizontal="left" vertical="top" wrapText="1"/>
    </xf>
    <xf numFmtId="0" fontId="4" fillId="0" borderId="0" xfId="0" applyFont="1"/>
    <xf numFmtId="0" fontId="4" fillId="0" borderId="0" xfId="0" applyFont="1" applyAlignment="1">
      <alignment horizontal="right" vertical="center"/>
    </xf>
    <xf numFmtId="0" fontId="0" fillId="2" borderId="2" xfId="0" applyFont="1" applyFill="1" applyBorder="1" applyAlignment="1">
      <alignment horizontal="left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top"/>
    </xf>
    <xf numFmtId="0" fontId="2" fillId="0" borderId="9" xfId="0" applyFont="1" applyBorder="1" applyAlignment="1">
      <alignment horizontal="center"/>
    </xf>
    <xf numFmtId="44" fontId="2" fillId="3" borderId="2" xfId="0" applyNumberFormat="1" applyFont="1" applyFill="1" applyBorder="1" applyAlignment="1">
      <alignment horizontal="center" vertical="center"/>
    </xf>
    <xf numFmtId="7" fontId="2" fillId="3" borderId="2" xfId="0" applyNumberFormat="1" applyFont="1" applyFill="1" applyBorder="1" applyAlignment="1">
      <alignment horizontal="center" vertical="center"/>
    </xf>
    <xf numFmtId="0" fontId="6" fillId="0" borderId="1" xfId="1" applyFont="1" applyAlignment="1"/>
    <xf numFmtId="0" fontId="0" fillId="5" borderId="0" xfId="0" applyFont="1" applyFill="1"/>
    <xf numFmtId="0" fontId="0" fillId="0" borderId="0" xfId="0" applyFont="1"/>
    <xf numFmtId="0" fontId="0" fillId="5" borderId="11" xfId="0" applyFont="1" applyFill="1" applyBorder="1"/>
    <xf numFmtId="0" fontId="6" fillId="4" borderId="10" xfId="1" applyFont="1" applyFill="1" applyBorder="1" applyAlignment="1"/>
    <xf numFmtId="14" fontId="0" fillId="5" borderId="0" xfId="0" applyNumberFormat="1" applyFont="1" applyFill="1"/>
    <xf numFmtId="14" fontId="0" fillId="0" borderId="0" xfId="0" applyNumberFormat="1" applyFont="1"/>
    <xf numFmtId="14" fontId="0" fillId="5" borderId="11" xfId="0" applyNumberFormat="1" applyFont="1" applyFill="1" applyBorder="1"/>
    <xf numFmtId="0" fontId="2" fillId="0" borderId="2" xfId="0" applyFont="1" applyFill="1" applyBorder="1" applyAlignment="1">
      <alignment horizontal="left" vertical="center" wrapText="1"/>
    </xf>
    <xf numFmtId="0" fontId="2" fillId="0" borderId="2" xfId="0" applyFont="1" applyBorder="1" applyAlignment="1">
      <alignment horizontal="left" vertical="top" wrapText="1"/>
    </xf>
    <xf numFmtId="0" fontId="0" fillId="2" borderId="3" xfId="0" applyFont="1" applyFill="1" applyBorder="1" applyAlignment="1">
      <alignment horizontal="center" vertical="center"/>
    </xf>
    <xf numFmtId="0" fontId="0" fillId="2" borderId="4" xfId="0" applyFont="1" applyFill="1" applyBorder="1" applyAlignment="1">
      <alignment horizontal="center" vertical="center"/>
    </xf>
    <xf numFmtId="0" fontId="0" fillId="2" borderId="5" xfId="0" applyFont="1" applyFill="1" applyBorder="1" applyAlignment="1">
      <alignment horizontal="center" vertical="center"/>
    </xf>
    <xf numFmtId="0" fontId="0" fillId="2" borderId="7" xfId="0" applyFont="1" applyFill="1" applyBorder="1" applyAlignment="1">
      <alignment horizontal="center" vertical="center" wrapText="1"/>
    </xf>
    <xf numFmtId="0" fontId="0" fillId="2" borderId="8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right" vertical="top" wrapText="1"/>
    </xf>
    <xf numFmtId="0" fontId="0" fillId="0" borderId="6" xfId="0" applyBorder="1" applyAlignment="1">
      <alignment horizontal="left" vertical="top"/>
    </xf>
  </cellXfs>
  <cellStyles count="2">
    <cellStyle name="Heading 3" xfId="1" builtinId="18"/>
    <cellStyle name="Normal" xfId="0" builtinId="0"/>
  </cellStyles>
  <dxfs count="3">
    <dxf>
      <numFmt numFmtId="19" formatCode="dd/mm/yyyy"/>
    </dxf>
    <dxf>
      <border outline="0">
        <bottom style="medium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alignment horizontal="general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9D55520A-FBC6-4089-8AB6-860241DCC4CB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14551</xdr:colOff>
      <xdr:row>0</xdr:row>
      <xdr:rowOff>0</xdr:rowOff>
    </xdr:from>
    <xdr:to>
      <xdr:col>0</xdr:col>
      <xdr:colOff>2120475</xdr:colOff>
      <xdr:row>3</xdr:row>
      <xdr:rowOff>117837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61B4504-D467-7ECA-EA52-553BD686C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51" y="0"/>
          <a:ext cx="2105924" cy="6893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388620</xdr:colOff>
          <xdr:row>14</xdr:row>
          <xdr:rowOff>22860</xdr:rowOff>
        </xdr:from>
        <xdr:to>
          <xdr:col>12</xdr:col>
          <xdr:colOff>571500</xdr:colOff>
          <xdr:row>18</xdr:row>
          <xdr:rowOff>1905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</xdr:colOff>
          <xdr:row>14</xdr:row>
          <xdr:rowOff>22860</xdr:rowOff>
        </xdr:from>
        <xdr:to>
          <xdr:col>15</xdr:col>
          <xdr:colOff>99060</xdr:colOff>
          <xdr:row>18</xdr:row>
          <xdr:rowOff>1905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18</xdr:row>
          <xdr:rowOff>83820</xdr:rowOff>
        </xdr:from>
        <xdr:to>
          <xdr:col>15</xdr:col>
          <xdr:colOff>106680</xdr:colOff>
          <xdr:row>21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as PDF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607218</xdr:colOff>
      <xdr:row>11</xdr:row>
      <xdr:rowOff>130968</xdr:rowOff>
    </xdr:from>
    <xdr:to>
      <xdr:col>15</xdr:col>
      <xdr:colOff>476250</xdr:colOff>
      <xdr:row>24</xdr:row>
      <xdr:rowOff>345280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3E4C5FCE-9BF3-EE8E-4BC1-B7D5754E8877}"/>
            </a:ext>
          </a:extLst>
        </xdr:cNvPr>
        <xdr:cNvSpPr/>
      </xdr:nvSpPr>
      <xdr:spPr>
        <a:xfrm>
          <a:off x="11120437" y="2464593"/>
          <a:ext cx="5179219" cy="2738437"/>
        </a:xfrm>
        <a:prstGeom prst="roundRect">
          <a:avLst/>
        </a:prstGeom>
        <a:noFill/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oneCellAnchor>
    <xdr:from>
      <xdr:col>9</xdr:col>
      <xdr:colOff>273843</xdr:colOff>
      <xdr:row>22</xdr:row>
      <xdr:rowOff>154780</xdr:rowOff>
    </xdr:from>
    <xdr:ext cx="4274344" cy="280205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1D0925AA-224E-F19B-6841-DF2B9F54EF6D}"/>
            </a:ext>
          </a:extLst>
        </xdr:cNvPr>
        <xdr:cNvSpPr txBox="1"/>
      </xdr:nvSpPr>
      <xdr:spPr>
        <a:xfrm>
          <a:off x="11644312" y="4631530"/>
          <a:ext cx="4274344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IN" sz="1200">
              <a:solidFill>
                <a:srgbClr val="FF0000"/>
              </a:solidFill>
            </a:rPr>
            <a:t>*</a:t>
          </a:r>
          <a:r>
            <a:rPr lang="en-IN" sz="1200" b="1"/>
            <a:t>Minor bug:</a:t>
          </a:r>
          <a:r>
            <a:rPr lang="en-IN" sz="1200" baseline="0"/>
            <a:t>  Please click "Clear All" if you generate a invoice.</a:t>
          </a:r>
          <a:endParaRPr lang="en-IN" sz="12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DCE5E-9D7A-4B2F-8337-325CCCC32F30}" name="Table1" displayName="Table1" ref="A1:I50" totalsRowShown="0" headerRowDxfId="2" headerRowBorderDxfId="1" headerRowCellStyle="Heading 3">
  <autoFilter ref="A1:I50" xr:uid="{A0DDCE5E-9D7A-4B2F-8337-325CCCC32F30}"/>
  <tableColumns count="9">
    <tableColumn id="1" xr3:uid="{FA0EE426-BC97-466E-B7CC-BE6E84149F1C}" name="Select Order Number"/>
    <tableColumn id="2" xr3:uid="{815FE712-1EC7-4829-BBB9-D98B25D01AE6}" name="Order Date" dataDxfId="0"/>
    <tableColumn id="3" xr3:uid="{C793F49D-95E8-415B-A30D-48E06A666076}" name="Seller"/>
    <tableColumn id="4" xr3:uid="{BA9B0EE0-9B4E-4BF4-A6D1-51D1B8CCDE64}" name="Address 1"/>
    <tableColumn id="5" xr3:uid="{5317B736-9113-416B-BCE5-BD62C1AF708F}" name="Address2"/>
    <tableColumn id="6" xr3:uid="{8D7FB0C6-F6CB-4005-B75E-8D122B28CB30}" name="State"/>
    <tableColumn id="7" xr3:uid="{8DAA5ECE-5E50-459A-8097-4F600498D652}" name="Country"/>
    <tableColumn id="8" xr3:uid="{24D30E6B-218F-4897-8DA7-CB3076AC89EA}" name="PAN No"/>
    <tableColumn id="9" xr3:uid="{A179A5BE-44D3-4F0F-98D7-3E49652D29C6}" name="GST Registration No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47633-9103-4BB8-B47E-2D4A1AB4A713}">
  <sheetPr codeName="Sheet1"/>
  <dimension ref="A1:P43"/>
  <sheetViews>
    <sheetView showGridLines="0" tabSelected="1" topLeftCell="A5" zoomScale="80" zoomScaleNormal="80" workbookViewId="0">
      <selection activeCell="J15" sqref="J15"/>
    </sheetView>
  </sheetViews>
  <sheetFormatPr defaultRowHeight="14.4" x14ac:dyDescent="0.3"/>
  <cols>
    <col min="1" max="1" width="47.44140625" customWidth="1"/>
    <col min="2" max="2" width="11.44140625" customWidth="1"/>
    <col min="3" max="3" width="5.109375" customWidth="1"/>
    <col min="4" max="4" width="12.88671875" customWidth="1"/>
    <col min="5" max="5" width="9.33203125" bestFit="1" customWidth="1"/>
    <col min="6" max="6" width="6.5546875" customWidth="1"/>
    <col min="7" max="7" width="13.44140625" bestFit="1" customWidth="1"/>
    <col min="8" max="8" width="51.44140625" style="6" customWidth="1"/>
    <col min="9" max="9" width="12.88671875" customWidth="1"/>
    <col min="10" max="10" width="21.33203125" bestFit="1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2" t="s">
        <v>0</v>
      </c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6" t="s">
        <v>1</v>
      </c>
      <c r="I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7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7"/>
      <c r="I4" s="1"/>
      <c r="J4" s="1"/>
      <c r="K4" s="1"/>
      <c r="L4" s="1"/>
      <c r="M4" s="1"/>
      <c r="N4" s="1"/>
      <c r="O4" s="1"/>
      <c r="P4" s="1"/>
    </row>
    <row r="5" spans="1:16" ht="18" x14ac:dyDescent="0.35">
      <c r="A5" s="16" t="s">
        <v>2</v>
      </c>
      <c r="B5" s="1"/>
      <c r="C5" s="1"/>
      <c r="D5" s="1"/>
      <c r="E5" s="1"/>
      <c r="F5" s="1"/>
      <c r="G5" s="1"/>
      <c r="H5" s="17" t="s">
        <v>3</v>
      </c>
      <c r="I5" s="1"/>
      <c r="J5" s="1"/>
      <c r="K5" s="1"/>
      <c r="L5" s="1"/>
      <c r="M5" s="1"/>
      <c r="N5" s="1"/>
      <c r="O5" s="1"/>
      <c r="P5" s="1"/>
    </row>
    <row r="6" spans="1:16" x14ac:dyDescent="0.3">
      <c r="A6" s="9" t="str">
        <f>IFERROR(_xlfn.XLOOKUP(MID($A$21, 15, 40), Seller!A:A, Seller!C:C), "######")</f>
        <v>######</v>
      </c>
      <c r="B6" s="1"/>
      <c r="C6" s="1"/>
      <c r="D6" s="1"/>
      <c r="E6" s="1"/>
      <c r="F6" s="1"/>
      <c r="G6" s="1"/>
      <c r="H6" s="10" t="str">
        <f>IFERROR(_xlfn.XLOOKUP(MID($A$21, 15, 50),Order!A:A,Order!B:B), "######")</f>
        <v>######</v>
      </c>
      <c r="I6" s="1"/>
      <c r="J6" s="1"/>
      <c r="K6" s="1"/>
      <c r="L6" s="1"/>
      <c r="M6" s="1"/>
      <c r="N6" s="1"/>
      <c r="O6" s="1"/>
      <c r="P6" s="1"/>
    </row>
    <row r="7" spans="1:16" x14ac:dyDescent="0.3">
      <c r="A7" s="2" t="str">
        <f>IFERROR(_xlfn.XLOOKUP(MID($A$21, 15, 50),Seller!A:A,Seller!D:D), "######")</f>
        <v>######</v>
      </c>
      <c r="B7" s="1"/>
      <c r="C7" s="1"/>
      <c r="D7" s="1"/>
      <c r="E7" s="1"/>
      <c r="F7" s="1"/>
      <c r="G7" s="1"/>
      <c r="H7" s="10" t="str">
        <f>IFERROR(_xlfn.XLOOKUP(MID($A$21, 15, 50),Order!A:A,Order!C:C), "######")</f>
        <v>######</v>
      </c>
      <c r="I7" s="1"/>
      <c r="J7" s="1"/>
      <c r="K7" s="1"/>
      <c r="L7" s="1"/>
      <c r="M7" s="1"/>
      <c r="N7" s="1"/>
      <c r="O7" s="1"/>
      <c r="P7" s="1"/>
    </row>
    <row r="8" spans="1:16" x14ac:dyDescent="0.3">
      <c r="A8" s="2" t="str">
        <f>IFERROR(_xlfn.XLOOKUP(MID($A$21, 15, 50),Seller!A:A,Seller!E:E), "######")</f>
        <v>######</v>
      </c>
      <c r="B8" s="1"/>
      <c r="C8" s="1"/>
      <c r="D8" s="1"/>
      <c r="E8" s="1"/>
      <c r="F8" s="1"/>
      <c r="G8" s="1"/>
      <c r="H8" s="7" t="str">
        <f>IFERROR(_xlfn.XLOOKUP(MID($A$21, 15, 50),Order!A:A,Order!D:D), "######")</f>
        <v>######</v>
      </c>
      <c r="I8" s="1"/>
      <c r="J8" s="1"/>
      <c r="K8" s="1"/>
      <c r="L8" s="1"/>
      <c r="M8" s="1"/>
      <c r="N8" s="1"/>
      <c r="O8" s="1"/>
      <c r="P8" s="1"/>
    </row>
    <row r="9" spans="1:16" x14ac:dyDescent="0.3">
      <c r="A9" s="1" t="str">
        <f>IFERROR(_xlfn.XLOOKUP(MID($A$21, 15, 50),Seller!A:A,Seller!G:G), "######")</f>
        <v>######</v>
      </c>
      <c r="B9" s="1"/>
      <c r="C9" s="1"/>
      <c r="D9" s="1"/>
      <c r="E9" s="1"/>
      <c r="F9" s="1"/>
      <c r="G9" s="1"/>
      <c r="H9" s="7" t="str">
        <f>IFERROR(_xlfn.XLOOKUP(MID($A$21, 15, 50),Order!A:A,Order!E:E), "######")</f>
        <v>######</v>
      </c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1"/>
      <c r="F10" s="1"/>
      <c r="G10" s="1"/>
      <c r="H10" s="7" t="str">
        <f>IFERROR("State/UT Code: "&amp;_xlfn.XLOOKUP(MID($A$21, 15, 50), Order!A:A, Order!F:F, ""), "######")</f>
        <v xml:space="preserve">State/UT Code: </v>
      </c>
      <c r="I10" s="1"/>
      <c r="J10" s="1"/>
      <c r="K10" s="1"/>
      <c r="L10" s="1"/>
      <c r="M10" s="1"/>
      <c r="N10" s="1"/>
      <c r="O10" s="1"/>
      <c r="P10" s="1"/>
    </row>
    <row r="11" spans="1:16" x14ac:dyDescent="0.3">
      <c r="B11" s="1"/>
      <c r="C11" s="1"/>
      <c r="D11" s="1"/>
      <c r="E11" s="1"/>
      <c r="F11" s="1"/>
      <c r="G11" s="1"/>
      <c r="H11" s="7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 t="str">
        <f>IFERROR("PAN No: " &amp; _xlfn.XLOOKUP(MID($A$21, 15, 50),Seller!A:A,Seller!H:H), "######")</f>
        <v>######</v>
      </c>
      <c r="B12" s="1"/>
      <c r="C12" s="1"/>
      <c r="D12" s="1"/>
      <c r="E12" s="1"/>
      <c r="F12" s="1"/>
      <c r="G12" s="1"/>
      <c r="H12" s="7"/>
      <c r="I12" s="1"/>
      <c r="J12" s="1"/>
      <c r="K12" s="1"/>
      <c r="L12" s="1"/>
      <c r="M12" s="1"/>
      <c r="N12" s="1"/>
      <c r="O12" s="1"/>
      <c r="P12" s="1"/>
    </row>
    <row r="13" spans="1:16" ht="18" x14ac:dyDescent="0.3">
      <c r="A13" s="1" t="str">
        <f>IFERROR("GST Registration No: " &amp; _xlfn.XLOOKUP(MID($A$21, 15, 50),Seller!A:A,Seller!I:I), "######")</f>
        <v>######</v>
      </c>
      <c r="G13" s="1"/>
      <c r="H13" s="17" t="s">
        <v>68</v>
      </c>
      <c r="I13" s="1"/>
    </row>
    <row r="14" spans="1:16" x14ac:dyDescent="0.3">
      <c r="H14" s="6" t="str">
        <f>IFERROR(_xlfn.XLOOKUP(MID($A$21, 15, 50),Order!A:A,Order!G:G), "######")</f>
        <v>######</v>
      </c>
    </row>
    <row r="15" spans="1:16" ht="15" thickBot="1" x14ac:dyDescent="0.35">
      <c r="H15" s="6" t="str">
        <f>IFERROR(_xlfn.XLOOKUP(MID($A$21, 15, 50),Order!A:A,Order!G:G), "######")</f>
        <v>######</v>
      </c>
      <c r="J15" s="22" t="s">
        <v>85</v>
      </c>
    </row>
    <row r="16" spans="1:16" x14ac:dyDescent="0.3">
      <c r="H16" s="11" t="str">
        <f>IFERROR(_xlfn.XLOOKUP(MID($A$21, 15, 50),Order!A:A,Order!H:H), "######")</f>
        <v>######</v>
      </c>
    </row>
    <row r="17" spans="1:8" x14ac:dyDescent="0.3">
      <c r="H17" s="11" t="str">
        <f>IFERROR(_xlfn.XLOOKUP(MID($A$21, 15, 50),Order!A:A,Order!I:I), "######")</f>
        <v>######</v>
      </c>
    </row>
    <row r="18" spans="1:8" x14ac:dyDescent="0.3">
      <c r="H18" s="6" t="str">
        <f>IFERROR("State/UT Code: " &amp; _xlfn.XLOOKUP(MID($A$21, 15, 50),Order!A:A,Order!K:K, ""), "######")</f>
        <v xml:space="preserve">State/UT Code: </v>
      </c>
    </row>
    <row r="19" spans="1:8" x14ac:dyDescent="0.3">
      <c r="H19" s="6" t="str">
        <f>IFERROR("Place of Supply: " &amp; _xlfn.XLOOKUP(MID($A$21, 15, 50),Order!A:A,Order!L:L, ""), "######")</f>
        <v xml:space="preserve">Place of Supply: </v>
      </c>
    </row>
    <row r="20" spans="1:8" x14ac:dyDescent="0.3">
      <c r="H20" s="6" t="str">
        <f>IFERROR("Place of Delivery: " &amp; _xlfn.XLOOKUP(MID($A$21, 15, 50),Order!A:A,Order!M:M, ""), "######")</f>
        <v xml:space="preserve">Place of Delivery: </v>
      </c>
    </row>
    <row r="21" spans="1:8" x14ac:dyDescent="0.3">
      <c r="A21" s="8" t="s">
        <v>87</v>
      </c>
      <c r="B21" s="3"/>
      <c r="C21" s="3"/>
      <c r="D21" s="3"/>
      <c r="E21" s="3"/>
      <c r="F21" s="3"/>
      <c r="H21" s="6" t="str">
        <f>IFERROR("Invoice Number: "&amp; _xlfn.XLOOKUP(MID($A$21, 15, 50),Order!A:A,Order!N:N, ""), "######")</f>
        <v xml:space="preserve">Invoice Number: </v>
      </c>
    </row>
    <row r="22" spans="1:8" x14ac:dyDescent="0.3">
      <c r="A22" t="str">
        <f>IFERROR("Order Date: "&amp;TEXT(_xlfn.XLOOKUP(MID($A$21, 15, 50), Seller!A:A, Seller!B:B), "DD-MM-YYYY"), "######")</f>
        <v>######</v>
      </c>
      <c r="H22" s="6" t="str">
        <f>IFERROR("Invoice Details: " &amp; _xlfn.XLOOKUP(MID($A$21, 15, 50),Order!A:A,Order!O:O, ""), "######")</f>
        <v xml:space="preserve">Invoice Details: </v>
      </c>
    </row>
    <row r="23" spans="1:8" x14ac:dyDescent="0.3">
      <c r="H23" s="6" t="str">
        <f>IFERROR("Invoice Date: "&amp;TEXT(_xlfn.XLOOKUP(MID($A$21, 15, 50), Order!A:A, Order!P:P), "DD-MM-YYYY"), "######")</f>
        <v>######</v>
      </c>
    </row>
    <row r="25" spans="1:8" ht="28.8" x14ac:dyDescent="0.3">
      <c r="A25" s="19" t="s">
        <v>5</v>
      </c>
      <c r="B25" s="19" t="s">
        <v>84</v>
      </c>
      <c r="C25" s="19" t="s">
        <v>32</v>
      </c>
      <c r="D25" s="19" t="s">
        <v>33</v>
      </c>
      <c r="E25" s="20" t="s">
        <v>70</v>
      </c>
      <c r="F25" s="20" t="s">
        <v>71</v>
      </c>
      <c r="G25" s="19" t="s">
        <v>82</v>
      </c>
      <c r="H25" s="19" t="s">
        <v>83</v>
      </c>
    </row>
    <row r="26" spans="1:8" ht="30" customHeight="1" x14ac:dyDescent="0.3">
      <c r="A26" s="33" t="s">
        <v>81</v>
      </c>
      <c r="B26" s="33"/>
      <c r="C26" s="33"/>
      <c r="D26" s="33"/>
      <c r="E26" s="33"/>
      <c r="F26" s="33"/>
      <c r="G26" s="23" t="s">
        <v>86</v>
      </c>
      <c r="H26" s="24" t="s">
        <v>86</v>
      </c>
    </row>
    <row r="27" spans="1:8" ht="34.5" customHeight="1" x14ac:dyDescent="0.3">
      <c r="A27" s="34" t="str" cm="1">
        <f t="array" ref="A27">IFERROR("Amount in Words:" &amp; CHAR(10) &amp; ConvertCurrencyToEnglish(H26), "######")</f>
        <v>######</v>
      </c>
      <c r="B27" s="34"/>
      <c r="C27" s="34"/>
      <c r="D27" s="34"/>
      <c r="E27" s="34"/>
      <c r="F27" s="34"/>
      <c r="G27" s="34"/>
      <c r="H27" s="34"/>
    </row>
    <row r="28" spans="1:8" ht="18.75" customHeight="1" x14ac:dyDescent="0.3">
      <c r="A28" s="40" t="str">
        <f>"For " &amp; _xlfn.XLOOKUP($B$21,Seller!A:A,Seller!C:C) &amp; CHAR(10) &amp; CHAR(10) &amp; CHAR(10) &amp; CHAR(10) &amp; "Authorized Signatory"</f>
        <v>For 
Authorized Signatory</v>
      </c>
      <c r="B28" s="40"/>
      <c r="C28" s="40"/>
      <c r="D28" s="40"/>
      <c r="E28" s="40"/>
      <c r="F28" s="40"/>
      <c r="G28" s="40"/>
      <c r="H28" s="40"/>
    </row>
    <row r="29" spans="1:8" s="21" customFormat="1" ht="27" customHeight="1" x14ac:dyDescent="0.3">
      <c r="A29" s="40"/>
      <c r="B29" s="40"/>
      <c r="C29" s="40"/>
      <c r="D29" s="40"/>
      <c r="E29" s="40"/>
      <c r="F29" s="40"/>
      <c r="G29" s="40"/>
      <c r="H29" s="40"/>
    </row>
    <row r="30" spans="1:8" ht="30.75" customHeight="1" x14ac:dyDescent="0.3">
      <c r="A30" s="40"/>
      <c r="B30" s="40"/>
      <c r="C30" s="40"/>
      <c r="D30" s="40"/>
      <c r="E30" s="40"/>
      <c r="F30" s="40"/>
      <c r="G30" s="40"/>
      <c r="H30" s="40"/>
    </row>
    <row r="31" spans="1:8" x14ac:dyDescent="0.3">
      <c r="A31" s="41" t="s">
        <v>80</v>
      </c>
      <c r="B31" s="41"/>
      <c r="C31" s="41"/>
      <c r="D31" s="41"/>
      <c r="E31" s="41"/>
      <c r="F31" s="41"/>
      <c r="G31" s="41"/>
      <c r="H31" s="41"/>
    </row>
    <row r="33" spans="1:8" ht="30" customHeight="1" x14ac:dyDescent="0.3">
      <c r="A33" s="15" t="str">
        <f>IFERROR("Payment Transaction ID: " &amp; CHAR(10) &amp; _xlfn.XLOOKUP(MID($H$21,17,30),Transaction!A:A,Transaction!E:E), "######")</f>
        <v>######</v>
      </c>
      <c r="B33" s="35" t="str">
        <f>IFERROR("Data &amp; Time: " &amp; CHAR(10) &amp; _xlfn.XLOOKUP(MID($H$21,17,30),Transaction!A:A,Transaction!F:F), "######")</f>
        <v>######</v>
      </c>
      <c r="C33" s="36"/>
      <c r="D33" s="36"/>
      <c r="E33" s="36"/>
      <c r="F33" s="37"/>
      <c r="G33" s="38" t="str">
        <f>IFERROR("Invoice Value: " &amp; VALUE(H26), "######")</f>
        <v>######</v>
      </c>
      <c r="H33" s="18" t="str">
        <f>IFERROR("Mode of Payment: " &amp; CHAR(10) &amp; _xlfn.XLOOKUP(MID($H$21,17,30),Transaction!A:A,Transaction!G:G), "######")</f>
        <v>######</v>
      </c>
    </row>
    <row r="34" spans="1:8" ht="30" customHeight="1" x14ac:dyDescent="0.3">
      <c r="A34" s="14" t="str">
        <f>IFERROR("Payment Transaction ID: " &amp; CHAR(10) &amp; _xlfn.XLOOKUP(MID($H$21,17,30),Transaction!A:A,Transaction!H:H), "#######")</f>
        <v>#######</v>
      </c>
      <c r="B34" s="35" t="str">
        <f>IFERROR("Data &amp; Time: " &amp; CHAR(10) &amp; _xlfn.XLOOKUP(MID($H$21,17,30),Transaction!A:A,Transaction!F:F), "######")</f>
        <v>######</v>
      </c>
      <c r="C34" s="36"/>
      <c r="D34" s="36"/>
      <c r="E34" s="36"/>
      <c r="F34" s="37"/>
      <c r="G34" s="39"/>
      <c r="H34" s="18" t="str">
        <f>IFERROR("Mode of Payment: " &amp; CHAR(10) &amp; _xlfn.XLOOKUP(MID($H$21,17,30),Transaction!A:A,Transaction!I:I), "######")</f>
        <v>######</v>
      </c>
    </row>
    <row r="38" spans="1:8" x14ac:dyDescent="0.3">
      <c r="B38" s="5"/>
      <c r="H38"/>
    </row>
    <row r="39" spans="1:8" x14ac:dyDescent="0.3">
      <c r="B39" s="5"/>
      <c r="H39"/>
    </row>
    <row r="40" spans="1:8" x14ac:dyDescent="0.3">
      <c r="B40" s="5"/>
      <c r="H40"/>
    </row>
    <row r="41" spans="1:8" x14ac:dyDescent="0.3">
      <c r="B41" s="5"/>
      <c r="H41"/>
    </row>
    <row r="42" spans="1:8" x14ac:dyDescent="0.3">
      <c r="B42" s="5"/>
      <c r="H42"/>
    </row>
    <row r="43" spans="1:8" x14ac:dyDescent="0.3">
      <c r="B43" s="5"/>
      <c r="H43"/>
    </row>
  </sheetData>
  <dataConsolidate/>
  <mergeCells count="7">
    <mergeCell ref="A26:F26"/>
    <mergeCell ref="A27:H27"/>
    <mergeCell ref="B34:F34"/>
    <mergeCell ref="B33:F33"/>
    <mergeCell ref="G33:G34"/>
    <mergeCell ref="A28:H30"/>
    <mergeCell ref="A31:H31"/>
  </mergeCells>
  <pageMargins left="0.7" right="0.7" top="0.75" bottom="0.75" header="0.3" footer="0.3"/>
  <pageSetup paperSize="9" scale="5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enerateReport">
                <anchor moveWithCells="1">
                  <from>
                    <xdr:col>10</xdr:col>
                    <xdr:colOff>388620</xdr:colOff>
                    <xdr:row>14</xdr:row>
                    <xdr:rowOff>22860</xdr:rowOff>
                  </from>
                  <to>
                    <xdr:col>12</xdr:col>
                    <xdr:colOff>571500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_xludf.Clear">
                <anchor moveWithCells="1">
                  <from>
                    <xdr:col>13</xdr:col>
                    <xdr:colOff>30480</xdr:colOff>
                    <xdr:row>14</xdr:row>
                    <xdr:rowOff>22860</xdr:rowOff>
                  </from>
                  <to>
                    <xdr:col>15</xdr:col>
                    <xdr:colOff>99060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PDF">
                <anchor moveWithCells="1">
                  <from>
                    <xdr:col>10</xdr:col>
                    <xdr:colOff>381000</xdr:colOff>
                    <xdr:row>18</xdr:row>
                    <xdr:rowOff>83820</xdr:rowOff>
                  </from>
                  <to>
                    <xdr:col>15</xdr:col>
                    <xdr:colOff>106680</xdr:colOff>
                    <xdr:row>21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FA7CB886-49B5-40A0-844A-E6A43FC82FC6}">
          <x14:formula1>
            <xm:f>Seller!$A$2:$A$3</xm:f>
          </x14:formula1>
          <xm:sqref>F21 C21</xm:sqref>
        </x14:dataValidation>
        <x14:dataValidation type="list" allowBlank="1" showInputMessage="1" showErrorMessage="1" xr:uid="{0F663735-DAB0-46E3-A3C9-847DA6368FEA}">
          <x14:formula1>
            <xm:f>Seller!$A$1:$A$5000</xm:f>
          </x14:formula1>
          <xm:sqref>J15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DA7E6-E366-4B11-8B30-E1474EE2C3BD}">
  <sheetPr codeName="Sheet2"/>
  <dimension ref="A1:J50"/>
  <sheetViews>
    <sheetView workbookViewId="0">
      <selection activeCell="J31" sqref="J31"/>
    </sheetView>
  </sheetViews>
  <sheetFormatPr defaultRowHeight="14.4" x14ac:dyDescent="0.3"/>
  <cols>
    <col min="1" max="1" width="22.5546875" bestFit="1" customWidth="1"/>
    <col min="2" max="2" width="13.109375" bestFit="1" customWidth="1"/>
    <col min="3" max="3" width="32" bestFit="1" customWidth="1"/>
    <col min="4" max="4" width="64.33203125" bestFit="1" customWidth="1"/>
    <col min="5" max="5" width="27" bestFit="1" customWidth="1"/>
    <col min="6" max="6" width="11.6640625" bestFit="1" customWidth="1"/>
    <col min="7" max="7" width="10.5546875" bestFit="1" customWidth="1"/>
    <col min="8" max="8" width="12.109375" bestFit="1" customWidth="1"/>
    <col min="9" max="9" width="21.5546875" bestFit="1" customWidth="1"/>
  </cols>
  <sheetData>
    <row r="1" spans="1:10" ht="15" thickBot="1" x14ac:dyDescent="0.35">
      <c r="A1" s="25" t="s">
        <v>85</v>
      </c>
      <c r="B1" s="25" t="s">
        <v>9</v>
      </c>
      <c r="C1" s="25" t="s">
        <v>6</v>
      </c>
      <c r="D1" s="25" t="s">
        <v>11</v>
      </c>
      <c r="E1" s="25" t="s">
        <v>14</v>
      </c>
      <c r="F1" s="25" t="s">
        <v>12</v>
      </c>
      <c r="G1" s="25" t="s">
        <v>13</v>
      </c>
      <c r="H1" s="25" t="s">
        <v>7</v>
      </c>
      <c r="I1" s="25" t="s">
        <v>8</v>
      </c>
      <c r="J1" s="3"/>
    </row>
    <row r="2" spans="1:10" x14ac:dyDescent="0.3">
      <c r="A2" t="s">
        <v>38</v>
      </c>
      <c r="B2" s="4">
        <v>45571</v>
      </c>
      <c r="C2" t="s">
        <v>37</v>
      </c>
      <c r="D2" t="s">
        <v>39</v>
      </c>
      <c r="E2" t="s">
        <v>40</v>
      </c>
      <c r="F2" t="s">
        <v>41</v>
      </c>
      <c r="G2" t="s">
        <v>19</v>
      </c>
      <c r="H2" t="s">
        <v>42</v>
      </c>
      <c r="I2" t="s">
        <v>43</v>
      </c>
    </row>
    <row r="3" spans="1:10" x14ac:dyDescent="0.3">
      <c r="A3" t="s">
        <v>44</v>
      </c>
      <c r="B3" s="4">
        <v>45570</v>
      </c>
      <c r="C3" t="s">
        <v>45</v>
      </c>
      <c r="D3" t="s">
        <v>46</v>
      </c>
      <c r="E3" t="s">
        <v>47</v>
      </c>
      <c r="F3" t="s">
        <v>41</v>
      </c>
      <c r="G3" t="s">
        <v>19</v>
      </c>
      <c r="H3" t="s">
        <v>48</v>
      </c>
      <c r="I3" t="s">
        <v>49</v>
      </c>
    </row>
    <row r="4" spans="1:10" x14ac:dyDescent="0.3">
      <c r="A4" t="s">
        <v>124</v>
      </c>
      <c r="B4" s="4">
        <v>45571</v>
      </c>
      <c r="C4" t="s">
        <v>45</v>
      </c>
      <c r="D4" t="s">
        <v>46</v>
      </c>
      <c r="E4" t="s">
        <v>88</v>
      </c>
      <c r="F4" t="s">
        <v>41</v>
      </c>
      <c r="G4" t="s">
        <v>19</v>
      </c>
      <c r="H4" t="s">
        <v>48</v>
      </c>
      <c r="I4" t="s">
        <v>49</v>
      </c>
    </row>
    <row r="5" spans="1:10" x14ac:dyDescent="0.3">
      <c r="A5" t="s">
        <v>128</v>
      </c>
      <c r="B5" s="4">
        <v>45572</v>
      </c>
      <c r="C5" t="s">
        <v>45</v>
      </c>
      <c r="D5" t="s">
        <v>46</v>
      </c>
      <c r="E5" t="s">
        <v>89</v>
      </c>
      <c r="F5" t="s">
        <v>41</v>
      </c>
      <c r="G5" t="s">
        <v>19</v>
      </c>
      <c r="H5" t="s">
        <v>48</v>
      </c>
      <c r="I5" t="s">
        <v>49</v>
      </c>
    </row>
    <row r="6" spans="1:10" x14ac:dyDescent="0.3">
      <c r="A6" t="s">
        <v>132</v>
      </c>
      <c r="B6" s="4">
        <v>45573</v>
      </c>
      <c r="C6" t="s">
        <v>45</v>
      </c>
      <c r="D6" t="s">
        <v>46</v>
      </c>
      <c r="E6" t="s">
        <v>90</v>
      </c>
      <c r="F6" t="s">
        <v>41</v>
      </c>
      <c r="G6" t="s">
        <v>19</v>
      </c>
      <c r="H6" t="s">
        <v>48</v>
      </c>
      <c r="I6" t="s">
        <v>49</v>
      </c>
    </row>
    <row r="7" spans="1:10" x14ac:dyDescent="0.3">
      <c r="A7" t="s">
        <v>136</v>
      </c>
      <c r="B7" s="4">
        <v>45574</v>
      </c>
      <c r="C7" t="s">
        <v>45</v>
      </c>
      <c r="D7" t="s">
        <v>46</v>
      </c>
      <c r="E7" t="s">
        <v>91</v>
      </c>
      <c r="F7" t="s">
        <v>41</v>
      </c>
      <c r="G7" t="s">
        <v>19</v>
      </c>
      <c r="H7" t="s">
        <v>48</v>
      </c>
      <c r="I7" t="s">
        <v>49</v>
      </c>
    </row>
    <row r="8" spans="1:10" x14ac:dyDescent="0.3">
      <c r="A8" t="s">
        <v>140</v>
      </c>
      <c r="B8" s="4">
        <v>45575</v>
      </c>
      <c r="C8" t="s">
        <v>45</v>
      </c>
      <c r="D8" t="s">
        <v>46</v>
      </c>
      <c r="E8" t="s">
        <v>92</v>
      </c>
      <c r="F8" t="s">
        <v>41</v>
      </c>
      <c r="G8" t="s">
        <v>19</v>
      </c>
      <c r="H8" t="s">
        <v>48</v>
      </c>
      <c r="I8" t="s">
        <v>49</v>
      </c>
    </row>
    <row r="9" spans="1:10" x14ac:dyDescent="0.3">
      <c r="A9" t="s">
        <v>144</v>
      </c>
      <c r="B9" s="4">
        <v>45576</v>
      </c>
      <c r="C9" t="s">
        <v>45</v>
      </c>
      <c r="D9" t="s">
        <v>46</v>
      </c>
      <c r="E9" t="s">
        <v>93</v>
      </c>
      <c r="F9" t="s">
        <v>41</v>
      </c>
      <c r="G9" t="s">
        <v>19</v>
      </c>
      <c r="H9" t="s">
        <v>48</v>
      </c>
      <c r="I9" t="s">
        <v>49</v>
      </c>
    </row>
    <row r="10" spans="1:10" x14ac:dyDescent="0.3">
      <c r="A10" t="s">
        <v>148</v>
      </c>
      <c r="B10" s="4">
        <v>45577</v>
      </c>
      <c r="C10" t="s">
        <v>45</v>
      </c>
      <c r="D10" t="s">
        <v>46</v>
      </c>
      <c r="E10" t="s">
        <v>94</v>
      </c>
      <c r="F10" t="s">
        <v>41</v>
      </c>
      <c r="G10" t="s">
        <v>19</v>
      </c>
      <c r="H10" t="s">
        <v>48</v>
      </c>
      <c r="I10" t="s">
        <v>49</v>
      </c>
    </row>
    <row r="11" spans="1:10" x14ac:dyDescent="0.3">
      <c r="A11" t="s">
        <v>152</v>
      </c>
      <c r="B11" s="4">
        <v>45578</v>
      </c>
      <c r="C11" t="s">
        <v>45</v>
      </c>
      <c r="D11" t="s">
        <v>46</v>
      </c>
      <c r="E11" t="s">
        <v>95</v>
      </c>
      <c r="F11" t="s">
        <v>41</v>
      </c>
      <c r="G11" t="s">
        <v>19</v>
      </c>
      <c r="H11" t="s">
        <v>48</v>
      </c>
      <c r="I11" t="s">
        <v>49</v>
      </c>
    </row>
    <row r="12" spans="1:10" x14ac:dyDescent="0.3">
      <c r="A12" t="s">
        <v>156</v>
      </c>
      <c r="B12" s="4">
        <v>45579</v>
      </c>
      <c r="C12" t="s">
        <v>45</v>
      </c>
      <c r="D12" t="s">
        <v>46</v>
      </c>
      <c r="E12" t="s">
        <v>96</v>
      </c>
      <c r="F12" t="s">
        <v>41</v>
      </c>
      <c r="G12" t="s">
        <v>19</v>
      </c>
      <c r="H12" t="s">
        <v>48</v>
      </c>
      <c r="I12" t="s">
        <v>49</v>
      </c>
    </row>
    <row r="13" spans="1:10" x14ac:dyDescent="0.3">
      <c r="A13" t="s">
        <v>160</v>
      </c>
      <c r="B13" s="4">
        <v>45580</v>
      </c>
      <c r="C13" t="s">
        <v>45</v>
      </c>
      <c r="D13" t="s">
        <v>46</v>
      </c>
      <c r="E13" t="s">
        <v>97</v>
      </c>
      <c r="F13" t="s">
        <v>41</v>
      </c>
      <c r="G13" t="s">
        <v>19</v>
      </c>
      <c r="H13" t="s">
        <v>48</v>
      </c>
      <c r="I13" t="s">
        <v>49</v>
      </c>
    </row>
    <row r="14" spans="1:10" x14ac:dyDescent="0.3">
      <c r="A14" t="s">
        <v>164</v>
      </c>
      <c r="B14" s="4">
        <v>45581</v>
      </c>
      <c r="C14" t="s">
        <v>45</v>
      </c>
      <c r="D14" t="s">
        <v>46</v>
      </c>
      <c r="E14" t="s">
        <v>98</v>
      </c>
      <c r="F14" t="s">
        <v>41</v>
      </c>
      <c r="G14" t="s">
        <v>19</v>
      </c>
      <c r="H14" t="s">
        <v>48</v>
      </c>
      <c r="I14" t="s">
        <v>49</v>
      </c>
    </row>
    <row r="15" spans="1:10" x14ac:dyDescent="0.3">
      <c r="A15" t="s">
        <v>168</v>
      </c>
      <c r="B15" s="4">
        <v>45582</v>
      </c>
      <c r="C15" t="s">
        <v>45</v>
      </c>
      <c r="D15" t="s">
        <v>46</v>
      </c>
      <c r="E15" t="s">
        <v>99</v>
      </c>
      <c r="F15" t="s">
        <v>41</v>
      </c>
      <c r="G15" t="s">
        <v>19</v>
      </c>
      <c r="H15" t="s">
        <v>48</v>
      </c>
      <c r="I15" t="s">
        <v>49</v>
      </c>
    </row>
    <row r="16" spans="1:10" x14ac:dyDescent="0.3">
      <c r="A16" t="s">
        <v>172</v>
      </c>
      <c r="B16" s="4">
        <v>45583</v>
      </c>
      <c r="C16" t="s">
        <v>45</v>
      </c>
      <c r="D16" t="s">
        <v>46</v>
      </c>
      <c r="E16" t="s">
        <v>100</v>
      </c>
      <c r="F16" t="s">
        <v>41</v>
      </c>
      <c r="G16" t="s">
        <v>19</v>
      </c>
      <c r="H16" t="s">
        <v>48</v>
      </c>
      <c r="I16" t="s">
        <v>49</v>
      </c>
    </row>
    <row r="17" spans="1:9" x14ac:dyDescent="0.3">
      <c r="A17" t="s">
        <v>176</v>
      </c>
      <c r="B17" s="4">
        <v>45584</v>
      </c>
      <c r="C17" t="s">
        <v>45</v>
      </c>
      <c r="D17" t="s">
        <v>46</v>
      </c>
      <c r="E17" t="s">
        <v>101</v>
      </c>
      <c r="F17" t="s">
        <v>41</v>
      </c>
      <c r="G17" t="s">
        <v>19</v>
      </c>
      <c r="H17" t="s">
        <v>48</v>
      </c>
      <c r="I17" t="s">
        <v>49</v>
      </c>
    </row>
    <row r="18" spans="1:9" x14ac:dyDescent="0.3">
      <c r="A18" t="s">
        <v>180</v>
      </c>
      <c r="B18" s="4">
        <v>45585</v>
      </c>
      <c r="C18" t="s">
        <v>45</v>
      </c>
      <c r="D18" t="s">
        <v>46</v>
      </c>
      <c r="E18" t="s">
        <v>102</v>
      </c>
      <c r="F18" t="s">
        <v>41</v>
      </c>
      <c r="G18" t="s">
        <v>19</v>
      </c>
      <c r="H18" t="s">
        <v>48</v>
      </c>
      <c r="I18" t="s">
        <v>49</v>
      </c>
    </row>
    <row r="19" spans="1:9" x14ac:dyDescent="0.3">
      <c r="A19" t="s">
        <v>184</v>
      </c>
      <c r="B19" s="4">
        <v>45586</v>
      </c>
      <c r="C19" t="s">
        <v>45</v>
      </c>
      <c r="D19" t="s">
        <v>46</v>
      </c>
      <c r="E19" t="s">
        <v>103</v>
      </c>
      <c r="F19" t="s">
        <v>41</v>
      </c>
      <c r="G19" t="s">
        <v>19</v>
      </c>
      <c r="H19" t="s">
        <v>48</v>
      </c>
      <c r="I19" t="s">
        <v>49</v>
      </c>
    </row>
    <row r="20" spans="1:9" x14ac:dyDescent="0.3">
      <c r="A20" t="s">
        <v>188</v>
      </c>
      <c r="B20" s="4">
        <v>45587</v>
      </c>
      <c r="C20" t="s">
        <v>45</v>
      </c>
      <c r="D20" t="s">
        <v>46</v>
      </c>
      <c r="E20" t="s">
        <v>104</v>
      </c>
      <c r="F20" t="s">
        <v>41</v>
      </c>
      <c r="G20" t="s">
        <v>19</v>
      </c>
      <c r="H20" t="s">
        <v>48</v>
      </c>
      <c r="I20" t="s">
        <v>49</v>
      </c>
    </row>
    <row r="21" spans="1:9" x14ac:dyDescent="0.3">
      <c r="A21" t="s">
        <v>192</v>
      </c>
      <c r="B21" s="4">
        <v>45588</v>
      </c>
      <c r="C21" t="s">
        <v>45</v>
      </c>
      <c r="D21" t="s">
        <v>46</v>
      </c>
      <c r="E21" t="s">
        <v>105</v>
      </c>
      <c r="F21" t="s">
        <v>41</v>
      </c>
      <c r="G21" t="s">
        <v>19</v>
      </c>
      <c r="H21" t="s">
        <v>48</v>
      </c>
      <c r="I21" t="s">
        <v>49</v>
      </c>
    </row>
    <row r="22" spans="1:9" x14ac:dyDescent="0.3">
      <c r="A22" t="s">
        <v>196</v>
      </c>
      <c r="B22" s="4">
        <v>45589</v>
      </c>
      <c r="C22" t="s">
        <v>45</v>
      </c>
      <c r="D22" t="s">
        <v>46</v>
      </c>
      <c r="E22" t="s">
        <v>106</v>
      </c>
      <c r="F22" t="s">
        <v>41</v>
      </c>
      <c r="G22" t="s">
        <v>19</v>
      </c>
      <c r="H22" t="s">
        <v>48</v>
      </c>
      <c r="I22" t="s">
        <v>49</v>
      </c>
    </row>
    <row r="23" spans="1:9" x14ac:dyDescent="0.3">
      <c r="A23" t="s">
        <v>200</v>
      </c>
      <c r="B23" s="4">
        <v>45590</v>
      </c>
      <c r="C23" t="s">
        <v>45</v>
      </c>
      <c r="D23" t="s">
        <v>46</v>
      </c>
      <c r="E23" t="s">
        <v>107</v>
      </c>
      <c r="F23" t="s">
        <v>41</v>
      </c>
      <c r="G23" t="s">
        <v>19</v>
      </c>
      <c r="H23" t="s">
        <v>48</v>
      </c>
      <c r="I23" t="s">
        <v>49</v>
      </c>
    </row>
    <row r="24" spans="1:9" x14ac:dyDescent="0.3">
      <c r="A24" t="s">
        <v>204</v>
      </c>
      <c r="B24" s="4">
        <v>45591</v>
      </c>
      <c r="C24" t="s">
        <v>45</v>
      </c>
      <c r="D24" t="s">
        <v>46</v>
      </c>
      <c r="E24" t="s">
        <v>108</v>
      </c>
      <c r="F24" t="s">
        <v>41</v>
      </c>
      <c r="G24" t="s">
        <v>19</v>
      </c>
      <c r="H24" t="s">
        <v>48</v>
      </c>
      <c r="I24" t="s">
        <v>49</v>
      </c>
    </row>
    <row r="25" spans="1:9" x14ac:dyDescent="0.3">
      <c r="A25" t="s">
        <v>208</v>
      </c>
      <c r="B25" s="4">
        <v>45592</v>
      </c>
      <c r="C25" t="s">
        <v>45</v>
      </c>
      <c r="D25" t="s">
        <v>46</v>
      </c>
      <c r="E25" t="s">
        <v>109</v>
      </c>
      <c r="F25" t="s">
        <v>41</v>
      </c>
      <c r="G25" t="s">
        <v>19</v>
      </c>
      <c r="H25" t="s">
        <v>48</v>
      </c>
      <c r="I25" t="s">
        <v>49</v>
      </c>
    </row>
    <row r="26" spans="1:9" x14ac:dyDescent="0.3">
      <c r="A26" t="s">
        <v>212</v>
      </c>
      <c r="B26" s="4">
        <v>45593</v>
      </c>
      <c r="C26" t="s">
        <v>45</v>
      </c>
      <c r="D26" t="s">
        <v>46</v>
      </c>
      <c r="E26" t="s">
        <v>110</v>
      </c>
      <c r="F26" t="s">
        <v>41</v>
      </c>
      <c r="G26" t="s">
        <v>19</v>
      </c>
      <c r="H26" t="s">
        <v>48</v>
      </c>
      <c r="I26" t="s">
        <v>49</v>
      </c>
    </row>
    <row r="27" spans="1:9" x14ac:dyDescent="0.3">
      <c r="A27" t="s">
        <v>216</v>
      </c>
      <c r="B27" s="4">
        <v>45594</v>
      </c>
      <c r="C27" t="s">
        <v>45</v>
      </c>
      <c r="D27" t="s">
        <v>46</v>
      </c>
      <c r="E27" t="s">
        <v>111</v>
      </c>
      <c r="F27" t="s">
        <v>41</v>
      </c>
      <c r="G27" t="s">
        <v>19</v>
      </c>
      <c r="H27" t="s">
        <v>48</v>
      </c>
      <c r="I27" t="s">
        <v>49</v>
      </c>
    </row>
    <row r="28" spans="1:9" x14ac:dyDescent="0.3">
      <c r="A28" t="s">
        <v>220</v>
      </c>
      <c r="B28" s="4">
        <v>45595</v>
      </c>
      <c r="C28" t="s">
        <v>45</v>
      </c>
      <c r="D28" t="s">
        <v>46</v>
      </c>
      <c r="E28" t="s">
        <v>112</v>
      </c>
      <c r="F28" t="s">
        <v>41</v>
      </c>
      <c r="G28" t="s">
        <v>19</v>
      </c>
      <c r="H28" t="s">
        <v>48</v>
      </c>
      <c r="I28" t="s">
        <v>49</v>
      </c>
    </row>
    <row r="29" spans="1:9" x14ac:dyDescent="0.3">
      <c r="A29" t="s">
        <v>224</v>
      </c>
      <c r="B29" s="4">
        <v>45596</v>
      </c>
      <c r="C29" t="s">
        <v>45</v>
      </c>
      <c r="D29" t="s">
        <v>46</v>
      </c>
      <c r="E29" t="s">
        <v>113</v>
      </c>
      <c r="F29" t="s">
        <v>41</v>
      </c>
      <c r="G29" t="s">
        <v>19</v>
      </c>
      <c r="H29" t="s">
        <v>48</v>
      </c>
      <c r="I29" t="s">
        <v>49</v>
      </c>
    </row>
    <row r="30" spans="1:9" x14ac:dyDescent="0.3">
      <c r="A30" t="s">
        <v>228</v>
      </c>
      <c r="B30" s="4">
        <v>45597</v>
      </c>
      <c r="C30" t="s">
        <v>45</v>
      </c>
      <c r="D30" t="s">
        <v>46</v>
      </c>
      <c r="E30" t="s">
        <v>114</v>
      </c>
      <c r="F30" t="s">
        <v>41</v>
      </c>
      <c r="G30" t="s">
        <v>19</v>
      </c>
      <c r="H30" t="s">
        <v>48</v>
      </c>
      <c r="I30" t="s">
        <v>49</v>
      </c>
    </row>
    <row r="31" spans="1:9" x14ac:dyDescent="0.3">
      <c r="A31" t="s">
        <v>232</v>
      </c>
      <c r="B31" s="4">
        <v>45598</v>
      </c>
      <c r="C31" t="s">
        <v>45</v>
      </c>
      <c r="D31" t="s">
        <v>46</v>
      </c>
      <c r="E31" t="s">
        <v>115</v>
      </c>
      <c r="F31" t="s">
        <v>41</v>
      </c>
      <c r="G31" t="s">
        <v>19</v>
      </c>
      <c r="H31" t="s">
        <v>48</v>
      </c>
      <c r="I31" t="s">
        <v>49</v>
      </c>
    </row>
    <row r="32" spans="1:9" x14ac:dyDescent="0.3">
      <c r="A32" t="s">
        <v>236</v>
      </c>
      <c r="B32" s="4">
        <v>45599</v>
      </c>
      <c r="C32" t="s">
        <v>45</v>
      </c>
      <c r="D32" t="s">
        <v>46</v>
      </c>
      <c r="E32" t="s">
        <v>116</v>
      </c>
      <c r="F32" t="s">
        <v>41</v>
      </c>
      <c r="G32" t="s">
        <v>19</v>
      </c>
      <c r="H32" t="s">
        <v>48</v>
      </c>
      <c r="I32" t="s">
        <v>49</v>
      </c>
    </row>
    <row r="33" spans="1:9" x14ac:dyDescent="0.3">
      <c r="A33" t="s">
        <v>240</v>
      </c>
      <c r="B33" s="4">
        <v>45600</v>
      </c>
      <c r="C33" t="s">
        <v>45</v>
      </c>
      <c r="D33" t="s">
        <v>46</v>
      </c>
      <c r="E33" t="s">
        <v>117</v>
      </c>
      <c r="F33" t="s">
        <v>41</v>
      </c>
      <c r="G33" t="s">
        <v>19</v>
      </c>
      <c r="H33" t="s">
        <v>48</v>
      </c>
      <c r="I33" t="s">
        <v>49</v>
      </c>
    </row>
    <row r="34" spans="1:9" x14ac:dyDescent="0.3">
      <c r="A34" t="s">
        <v>244</v>
      </c>
      <c r="B34" s="4">
        <v>45601</v>
      </c>
      <c r="C34" t="s">
        <v>45</v>
      </c>
      <c r="D34" t="s">
        <v>46</v>
      </c>
      <c r="E34" t="s">
        <v>118</v>
      </c>
      <c r="F34" t="s">
        <v>41</v>
      </c>
      <c r="G34" t="s">
        <v>19</v>
      </c>
      <c r="H34" t="s">
        <v>48</v>
      </c>
      <c r="I34" t="s">
        <v>49</v>
      </c>
    </row>
    <row r="35" spans="1:9" x14ac:dyDescent="0.3">
      <c r="A35" t="s">
        <v>248</v>
      </c>
      <c r="B35" s="4">
        <v>45602</v>
      </c>
      <c r="C35" t="s">
        <v>45</v>
      </c>
      <c r="D35" t="s">
        <v>46</v>
      </c>
      <c r="E35" t="s">
        <v>119</v>
      </c>
      <c r="F35" t="s">
        <v>41</v>
      </c>
      <c r="G35" t="s">
        <v>19</v>
      </c>
      <c r="H35" t="s">
        <v>48</v>
      </c>
      <c r="I35" t="s">
        <v>49</v>
      </c>
    </row>
    <row r="36" spans="1:9" x14ac:dyDescent="0.3">
      <c r="A36" t="s">
        <v>252</v>
      </c>
      <c r="B36" s="4">
        <v>45603</v>
      </c>
      <c r="C36" t="s">
        <v>45</v>
      </c>
      <c r="D36" t="s">
        <v>46</v>
      </c>
      <c r="E36" t="s">
        <v>120</v>
      </c>
      <c r="F36" t="s">
        <v>41</v>
      </c>
      <c r="G36" t="s">
        <v>19</v>
      </c>
      <c r="H36" t="s">
        <v>48</v>
      </c>
      <c r="I36" t="s">
        <v>49</v>
      </c>
    </row>
    <row r="37" spans="1:9" x14ac:dyDescent="0.3">
      <c r="A37" t="s">
        <v>256</v>
      </c>
      <c r="B37" s="4">
        <v>45604</v>
      </c>
      <c r="C37" t="s">
        <v>45</v>
      </c>
      <c r="D37" t="s">
        <v>46</v>
      </c>
      <c r="E37" t="s">
        <v>121</v>
      </c>
      <c r="F37" t="s">
        <v>41</v>
      </c>
      <c r="G37" t="s">
        <v>19</v>
      </c>
      <c r="H37" t="s">
        <v>48</v>
      </c>
      <c r="I37" t="s">
        <v>49</v>
      </c>
    </row>
    <row r="38" spans="1:9" x14ac:dyDescent="0.3">
      <c r="A38" t="s">
        <v>260</v>
      </c>
      <c r="B38" s="4">
        <v>45605</v>
      </c>
      <c r="C38" t="s">
        <v>45</v>
      </c>
      <c r="D38" t="s">
        <v>46</v>
      </c>
      <c r="E38" t="s">
        <v>122</v>
      </c>
      <c r="F38" t="s">
        <v>41</v>
      </c>
      <c r="G38" t="s">
        <v>19</v>
      </c>
      <c r="H38" t="s">
        <v>48</v>
      </c>
      <c r="I38" t="s">
        <v>49</v>
      </c>
    </row>
    <row r="39" spans="1:9" x14ac:dyDescent="0.3">
      <c r="A39" t="s">
        <v>264</v>
      </c>
      <c r="B39" s="4">
        <v>45606</v>
      </c>
      <c r="C39" t="s">
        <v>45</v>
      </c>
      <c r="D39" t="s">
        <v>46</v>
      </c>
      <c r="E39" t="s">
        <v>123</v>
      </c>
      <c r="F39" t="s">
        <v>41</v>
      </c>
      <c r="G39" t="s">
        <v>19</v>
      </c>
      <c r="H39" t="s">
        <v>48</v>
      </c>
      <c r="I39" t="s">
        <v>49</v>
      </c>
    </row>
    <row r="40" spans="1:9" x14ac:dyDescent="0.3">
      <c r="A40" t="s">
        <v>268</v>
      </c>
      <c r="B40" s="4">
        <v>45607</v>
      </c>
      <c r="C40" t="s">
        <v>45</v>
      </c>
      <c r="D40" t="s">
        <v>46</v>
      </c>
      <c r="E40" t="s">
        <v>312</v>
      </c>
      <c r="F40" t="s">
        <v>41</v>
      </c>
      <c r="G40" t="s">
        <v>19</v>
      </c>
      <c r="H40" t="s">
        <v>48</v>
      </c>
      <c r="I40" t="s">
        <v>49</v>
      </c>
    </row>
    <row r="41" spans="1:9" x14ac:dyDescent="0.3">
      <c r="A41" t="s">
        <v>272</v>
      </c>
      <c r="B41" s="4">
        <v>45608</v>
      </c>
      <c r="C41" t="s">
        <v>45</v>
      </c>
      <c r="D41" t="s">
        <v>46</v>
      </c>
      <c r="E41" t="s">
        <v>313</v>
      </c>
      <c r="F41" t="s">
        <v>41</v>
      </c>
      <c r="G41" t="s">
        <v>19</v>
      </c>
      <c r="H41" t="s">
        <v>48</v>
      </c>
      <c r="I41" t="s">
        <v>49</v>
      </c>
    </row>
    <row r="42" spans="1:9" x14ac:dyDescent="0.3">
      <c r="A42" t="s">
        <v>276</v>
      </c>
      <c r="B42" s="4">
        <v>45609</v>
      </c>
      <c r="C42" t="s">
        <v>45</v>
      </c>
      <c r="D42" t="s">
        <v>46</v>
      </c>
      <c r="E42" t="s">
        <v>314</v>
      </c>
      <c r="F42" t="s">
        <v>41</v>
      </c>
      <c r="G42" t="s">
        <v>19</v>
      </c>
      <c r="H42" t="s">
        <v>48</v>
      </c>
      <c r="I42" t="s">
        <v>49</v>
      </c>
    </row>
    <row r="43" spans="1:9" x14ac:dyDescent="0.3">
      <c r="A43" t="s">
        <v>280</v>
      </c>
      <c r="B43" s="4">
        <v>45610</v>
      </c>
      <c r="C43" t="s">
        <v>45</v>
      </c>
      <c r="D43" t="s">
        <v>46</v>
      </c>
      <c r="E43" t="s">
        <v>315</v>
      </c>
      <c r="F43" t="s">
        <v>41</v>
      </c>
      <c r="G43" t="s">
        <v>19</v>
      </c>
      <c r="H43" t="s">
        <v>48</v>
      </c>
      <c r="I43" t="s">
        <v>49</v>
      </c>
    </row>
    <row r="44" spans="1:9" x14ac:dyDescent="0.3">
      <c r="A44" t="s">
        <v>284</v>
      </c>
      <c r="B44" s="4">
        <v>45611</v>
      </c>
      <c r="C44" t="s">
        <v>45</v>
      </c>
      <c r="D44" t="s">
        <v>46</v>
      </c>
      <c r="E44" t="s">
        <v>316</v>
      </c>
      <c r="F44" t="s">
        <v>41</v>
      </c>
      <c r="G44" t="s">
        <v>19</v>
      </c>
      <c r="H44" t="s">
        <v>48</v>
      </c>
      <c r="I44" t="s">
        <v>49</v>
      </c>
    </row>
    <row r="45" spans="1:9" x14ac:dyDescent="0.3">
      <c r="A45" t="s">
        <v>288</v>
      </c>
      <c r="B45" s="4">
        <v>45612</v>
      </c>
      <c r="C45" t="s">
        <v>45</v>
      </c>
      <c r="D45" t="s">
        <v>46</v>
      </c>
      <c r="E45" t="s">
        <v>317</v>
      </c>
      <c r="F45" t="s">
        <v>41</v>
      </c>
      <c r="G45" t="s">
        <v>19</v>
      </c>
      <c r="H45" t="s">
        <v>48</v>
      </c>
      <c r="I45" t="s">
        <v>49</v>
      </c>
    </row>
    <row r="46" spans="1:9" x14ac:dyDescent="0.3">
      <c r="A46" t="s">
        <v>292</v>
      </c>
      <c r="B46" s="4">
        <v>45613</v>
      </c>
      <c r="C46" t="s">
        <v>45</v>
      </c>
      <c r="D46" t="s">
        <v>46</v>
      </c>
      <c r="E46" t="s">
        <v>318</v>
      </c>
      <c r="F46" t="s">
        <v>41</v>
      </c>
      <c r="G46" t="s">
        <v>19</v>
      </c>
      <c r="H46" t="s">
        <v>48</v>
      </c>
      <c r="I46" t="s">
        <v>49</v>
      </c>
    </row>
    <row r="47" spans="1:9" x14ac:dyDescent="0.3">
      <c r="A47" t="s">
        <v>296</v>
      </c>
      <c r="B47" s="4">
        <v>45614</v>
      </c>
      <c r="C47" t="s">
        <v>45</v>
      </c>
      <c r="D47" t="s">
        <v>46</v>
      </c>
      <c r="E47" t="s">
        <v>319</v>
      </c>
      <c r="F47" t="s">
        <v>41</v>
      </c>
      <c r="G47" t="s">
        <v>19</v>
      </c>
      <c r="H47" t="s">
        <v>48</v>
      </c>
      <c r="I47" t="s">
        <v>49</v>
      </c>
    </row>
    <row r="48" spans="1:9" x14ac:dyDescent="0.3">
      <c r="A48" t="s">
        <v>300</v>
      </c>
      <c r="B48" s="4">
        <v>45615</v>
      </c>
      <c r="C48" t="s">
        <v>45</v>
      </c>
      <c r="D48" t="s">
        <v>46</v>
      </c>
      <c r="E48" t="s">
        <v>320</v>
      </c>
      <c r="F48" t="s">
        <v>41</v>
      </c>
      <c r="G48" t="s">
        <v>19</v>
      </c>
      <c r="H48" t="s">
        <v>48</v>
      </c>
      <c r="I48" t="s">
        <v>49</v>
      </c>
    </row>
    <row r="49" spans="1:9" x14ac:dyDescent="0.3">
      <c r="A49" t="s">
        <v>304</v>
      </c>
      <c r="B49" s="4">
        <v>45616</v>
      </c>
      <c r="C49" t="s">
        <v>45</v>
      </c>
      <c r="D49" t="s">
        <v>46</v>
      </c>
      <c r="E49" t="s">
        <v>321</v>
      </c>
      <c r="F49" t="s">
        <v>41</v>
      </c>
      <c r="G49" t="s">
        <v>19</v>
      </c>
      <c r="H49" t="s">
        <v>48</v>
      </c>
      <c r="I49" t="s">
        <v>49</v>
      </c>
    </row>
    <row r="50" spans="1:9" x14ac:dyDescent="0.3">
      <c r="A50" t="s">
        <v>308</v>
      </c>
      <c r="B50" s="4">
        <v>45617</v>
      </c>
      <c r="C50" t="s">
        <v>45</v>
      </c>
      <c r="D50" t="s">
        <v>46</v>
      </c>
      <c r="E50" t="s">
        <v>365</v>
      </c>
      <c r="F50" t="s">
        <v>41</v>
      </c>
      <c r="G50" t="s">
        <v>19</v>
      </c>
      <c r="H50" t="s">
        <v>48</v>
      </c>
      <c r="I50" t="s">
        <v>49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2A5D9-F468-4AD2-BA29-F5B529A7C0DE}">
  <sheetPr codeName="Sheet3"/>
  <dimension ref="A1:P50"/>
  <sheetViews>
    <sheetView workbookViewId="0">
      <selection activeCell="K22" sqref="K22"/>
    </sheetView>
  </sheetViews>
  <sheetFormatPr defaultRowHeight="14.4" x14ac:dyDescent="0.3"/>
  <cols>
    <col min="1" max="1" width="19.6640625" bestFit="1" customWidth="1"/>
    <col min="2" max="2" width="6.33203125" bestFit="1" customWidth="1"/>
    <col min="3" max="3" width="15.6640625" customWidth="1"/>
    <col min="4" max="4" width="15.88671875" customWidth="1"/>
    <col min="5" max="5" width="13.88671875" bestFit="1" customWidth="1"/>
    <col min="6" max="6" width="19.44140625" bestFit="1" customWidth="1"/>
    <col min="7" max="7" width="19.44140625" customWidth="1"/>
    <col min="8" max="8" width="58.109375" customWidth="1"/>
    <col min="9" max="9" width="18" bestFit="1" customWidth="1"/>
    <col min="10" max="10" width="16" bestFit="1" customWidth="1"/>
    <col min="11" max="11" width="21.6640625" bestFit="1" customWidth="1"/>
    <col min="12" max="12" width="14.44140625" bestFit="1" customWidth="1"/>
    <col min="13" max="13" width="15.33203125" bestFit="1" customWidth="1"/>
    <col min="14" max="14" width="15" bestFit="1" customWidth="1"/>
    <col min="15" max="15" width="14" bestFit="1" customWidth="1"/>
    <col min="16" max="16" width="10.44140625" bestFit="1" customWidth="1"/>
  </cols>
  <sheetData>
    <row r="1" spans="1:16" ht="15" thickBot="1" x14ac:dyDescent="0.35">
      <c r="A1" s="29" t="s">
        <v>4</v>
      </c>
      <c r="B1" s="29" t="s">
        <v>10</v>
      </c>
      <c r="C1" s="29" t="s">
        <v>21</v>
      </c>
      <c r="D1" s="29" t="s">
        <v>22</v>
      </c>
      <c r="E1" s="29" t="s">
        <v>23</v>
      </c>
      <c r="F1" s="29" t="s">
        <v>24</v>
      </c>
      <c r="G1" s="29" t="s">
        <v>50</v>
      </c>
      <c r="H1" s="29" t="s">
        <v>15</v>
      </c>
      <c r="I1" s="29" t="s">
        <v>16</v>
      </c>
      <c r="J1" s="29" t="s">
        <v>20</v>
      </c>
      <c r="K1" s="29" t="s">
        <v>25</v>
      </c>
      <c r="L1" s="29" t="s">
        <v>26</v>
      </c>
      <c r="M1" s="29" t="s">
        <v>27</v>
      </c>
      <c r="N1" s="29" t="s">
        <v>28</v>
      </c>
      <c r="O1" s="29" t="s">
        <v>29</v>
      </c>
      <c r="P1" s="29" t="s">
        <v>30</v>
      </c>
    </row>
    <row r="2" spans="1:16" s="13" customFormat="1" x14ac:dyDescent="0.3">
      <c r="A2" s="26" t="s">
        <v>38</v>
      </c>
      <c r="B2" s="30" t="s">
        <v>17</v>
      </c>
      <c r="C2" s="26" t="s">
        <v>69</v>
      </c>
      <c r="D2" s="26" t="s">
        <v>18</v>
      </c>
      <c r="E2" s="26" t="s">
        <v>19</v>
      </c>
      <c r="F2" s="26">
        <v>19</v>
      </c>
      <c r="G2" s="26" t="s">
        <v>17</v>
      </c>
      <c r="H2" s="26" t="s">
        <v>69</v>
      </c>
      <c r="I2" s="26" t="s">
        <v>18</v>
      </c>
      <c r="J2" s="26" t="s">
        <v>19</v>
      </c>
      <c r="K2" s="30">
        <v>19</v>
      </c>
      <c r="L2" s="26" t="s">
        <v>51</v>
      </c>
      <c r="M2" s="26" t="s">
        <v>51</v>
      </c>
      <c r="N2" s="26" t="s">
        <v>52</v>
      </c>
      <c r="O2" s="26" t="s">
        <v>53</v>
      </c>
      <c r="P2" s="26">
        <v>45578</v>
      </c>
    </row>
    <row r="3" spans="1:16" x14ac:dyDescent="0.3">
      <c r="A3" s="27" t="s">
        <v>44</v>
      </c>
      <c r="B3" s="31" t="s">
        <v>17</v>
      </c>
      <c r="C3" s="27" t="s">
        <v>69</v>
      </c>
      <c r="D3" s="27" t="s">
        <v>18</v>
      </c>
      <c r="E3" s="27" t="s">
        <v>19</v>
      </c>
      <c r="F3" s="27">
        <v>19</v>
      </c>
      <c r="G3" s="27" t="s">
        <v>17</v>
      </c>
      <c r="H3" s="27" t="s">
        <v>69</v>
      </c>
      <c r="I3" s="27" t="s">
        <v>18</v>
      </c>
      <c r="J3" s="27" t="s">
        <v>19</v>
      </c>
      <c r="K3" s="31">
        <v>19</v>
      </c>
      <c r="L3" s="27" t="s">
        <v>51</v>
      </c>
      <c r="M3" s="27" t="s">
        <v>51</v>
      </c>
      <c r="N3" s="27" t="s">
        <v>60</v>
      </c>
      <c r="O3" s="27" t="s">
        <v>61</v>
      </c>
      <c r="P3" s="27">
        <v>45570</v>
      </c>
    </row>
    <row r="4" spans="1:16" x14ac:dyDescent="0.3">
      <c r="A4" s="26" t="s">
        <v>124</v>
      </c>
      <c r="B4" s="30" t="s">
        <v>17</v>
      </c>
      <c r="C4" s="26" t="s">
        <v>69</v>
      </c>
      <c r="D4" s="26" t="s">
        <v>125</v>
      </c>
      <c r="E4" s="26" t="s">
        <v>19</v>
      </c>
      <c r="F4" s="26">
        <v>20</v>
      </c>
      <c r="G4" s="26" t="s">
        <v>17</v>
      </c>
      <c r="H4" s="26" t="s">
        <v>69</v>
      </c>
      <c r="I4" s="26" t="s">
        <v>125</v>
      </c>
      <c r="J4" s="26" t="s">
        <v>19</v>
      </c>
      <c r="K4" s="30">
        <v>20</v>
      </c>
      <c r="L4" s="26" t="s">
        <v>51</v>
      </c>
      <c r="M4" s="26" t="s">
        <v>51</v>
      </c>
      <c r="N4" s="26" t="s">
        <v>126</v>
      </c>
      <c r="O4" s="26" t="s">
        <v>127</v>
      </c>
      <c r="P4" s="26">
        <v>45571</v>
      </c>
    </row>
    <row r="5" spans="1:16" x14ac:dyDescent="0.3">
      <c r="A5" s="27" t="s">
        <v>128</v>
      </c>
      <c r="B5" s="31" t="s">
        <v>17</v>
      </c>
      <c r="C5" s="27" t="s">
        <v>69</v>
      </c>
      <c r="D5" s="27" t="s">
        <v>129</v>
      </c>
      <c r="E5" s="27" t="s">
        <v>19</v>
      </c>
      <c r="F5" s="27">
        <v>21</v>
      </c>
      <c r="G5" s="27" t="s">
        <v>17</v>
      </c>
      <c r="H5" s="27" t="s">
        <v>69</v>
      </c>
      <c r="I5" s="27" t="s">
        <v>129</v>
      </c>
      <c r="J5" s="27" t="s">
        <v>19</v>
      </c>
      <c r="K5" s="31">
        <v>21</v>
      </c>
      <c r="L5" s="27" t="s">
        <v>51</v>
      </c>
      <c r="M5" s="27" t="s">
        <v>51</v>
      </c>
      <c r="N5" s="27" t="s">
        <v>130</v>
      </c>
      <c r="O5" s="27" t="s">
        <v>131</v>
      </c>
      <c r="P5" s="27">
        <v>45572</v>
      </c>
    </row>
    <row r="6" spans="1:16" x14ac:dyDescent="0.3">
      <c r="A6" s="26" t="s">
        <v>132</v>
      </c>
      <c r="B6" s="30" t="s">
        <v>17</v>
      </c>
      <c r="C6" s="26" t="s">
        <v>69</v>
      </c>
      <c r="D6" s="26" t="s">
        <v>133</v>
      </c>
      <c r="E6" s="26" t="s">
        <v>19</v>
      </c>
      <c r="F6" s="26">
        <v>22</v>
      </c>
      <c r="G6" s="26" t="s">
        <v>17</v>
      </c>
      <c r="H6" s="26" t="s">
        <v>69</v>
      </c>
      <c r="I6" s="26" t="s">
        <v>133</v>
      </c>
      <c r="J6" s="26" t="s">
        <v>19</v>
      </c>
      <c r="K6" s="30">
        <v>22</v>
      </c>
      <c r="L6" s="26" t="s">
        <v>51</v>
      </c>
      <c r="M6" s="26" t="s">
        <v>51</v>
      </c>
      <c r="N6" s="26" t="s">
        <v>134</v>
      </c>
      <c r="O6" s="26" t="s">
        <v>135</v>
      </c>
      <c r="P6" s="26">
        <v>45573</v>
      </c>
    </row>
    <row r="7" spans="1:16" x14ac:dyDescent="0.3">
      <c r="A7" s="27" t="s">
        <v>136</v>
      </c>
      <c r="B7" s="31" t="s">
        <v>17</v>
      </c>
      <c r="C7" s="27" t="s">
        <v>69</v>
      </c>
      <c r="D7" s="27" t="s">
        <v>137</v>
      </c>
      <c r="E7" s="27" t="s">
        <v>19</v>
      </c>
      <c r="F7" s="27">
        <v>23</v>
      </c>
      <c r="G7" s="27" t="s">
        <v>17</v>
      </c>
      <c r="H7" s="27" t="s">
        <v>69</v>
      </c>
      <c r="I7" s="27" t="s">
        <v>137</v>
      </c>
      <c r="J7" s="27" t="s">
        <v>19</v>
      </c>
      <c r="K7" s="31">
        <v>23</v>
      </c>
      <c r="L7" s="27" t="s">
        <v>51</v>
      </c>
      <c r="M7" s="27" t="s">
        <v>51</v>
      </c>
      <c r="N7" s="27" t="s">
        <v>138</v>
      </c>
      <c r="O7" s="27" t="s">
        <v>139</v>
      </c>
      <c r="P7" s="27">
        <v>45574</v>
      </c>
    </row>
    <row r="8" spans="1:16" x14ac:dyDescent="0.3">
      <c r="A8" s="26" t="s">
        <v>140</v>
      </c>
      <c r="B8" s="30" t="s">
        <v>17</v>
      </c>
      <c r="C8" s="26" t="s">
        <v>69</v>
      </c>
      <c r="D8" s="26" t="s">
        <v>141</v>
      </c>
      <c r="E8" s="26" t="s">
        <v>19</v>
      </c>
      <c r="F8" s="26">
        <v>24</v>
      </c>
      <c r="G8" s="26" t="s">
        <v>17</v>
      </c>
      <c r="H8" s="26" t="s">
        <v>69</v>
      </c>
      <c r="I8" s="26" t="s">
        <v>141</v>
      </c>
      <c r="J8" s="26" t="s">
        <v>19</v>
      </c>
      <c r="K8" s="30">
        <v>24</v>
      </c>
      <c r="L8" s="26" t="s">
        <v>51</v>
      </c>
      <c r="M8" s="26" t="s">
        <v>51</v>
      </c>
      <c r="N8" s="26" t="s">
        <v>142</v>
      </c>
      <c r="O8" s="26" t="s">
        <v>143</v>
      </c>
      <c r="P8" s="26">
        <v>45575</v>
      </c>
    </row>
    <row r="9" spans="1:16" x14ac:dyDescent="0.3">
      <c r="A9" s="27" t="s">
        <v>144</v>
      </c>
      <c r="B9" s="31" t="s">
        <v>17</v>
      </c>
      <c r="C9" s="27" t="s">
        <v>69</v>
      </c>
      <c r="D9" s="27" t="s">
        <v>145</v>
      </c>
      <c r="E9" s="27" t="s">
        <v>19</v>
      </c>
      <c r="F9" s="27">
        <v>25</v>
      </c>
      <c r="G9" s="27" t="s">
        <v>17</v>
      </c>
      <c r="H9" s="27" t="s">
        <v>69</v>
      </c>
      <c r="I9" s="27" t="s">
        <v>145</v>
      </c>
      <c r="J9" s="27" t="s">
        <v>19</v>
      </c>
      <c r="K9" s="31">
        <v>25</v>
      </c>
      <c r="L9" s="27" t="s">
        <v>51</v>
      </c>
      <c r="M9" s="27" t="s">
        <v>51</v>
      </c>
      <c r="N9" s="27" t="s">
        <v>146</v>
      </c>
      <c r="O9" s="27" t="s">
        <v>147</v>
      </c>
      <c r="P9" s="27">
        <v>45576</v>
      </c>
    </row>
    <row r="10" spans="1:16" x14ac:dyDescent="0.3">
      <c r="A10" s="26" t="s">
        <v>148</v>
      </c>
      <c r="B10" s="30" t="s">
        <v>17</v>
      </c>
      <c r="C10" s="26" t="s">
        <v>69</v>
      </c>
      <c r="D10" s="26" t="s">
        <v>149</v>
      </c>
      <c r="E10" s="26" t="s">
        <v>19</v>
      </c>
      <c r="F10" s="26">
        <v>26</v>
      </c>
      <c r="G10" s="26" t="s">
        <v>17</v>
      </c>
      <c r="H10" s="26" t="s">
        <v>69</v>
      </c>
      <c r="I10" s="26" t="s">
        <v>149</v>
      </c>
      <c r="J10" s="26" t="s">
        <v>19</v>
      </c>
      <c r="K10" s="30">
        <v>26</v>
      </c>
      <c r="L10" s="26" t="s">
        <v>51</v>
      </c>
      <c r="M10" s="26" t="s">
        <v>51</v>
      </c>
      <c r="N10" s="26" t="s">
        <v>150</v>
      </c>
      <c r="O10" s="26" t="s">
        <v>151</v>
      </c>
      <c r="P10" s="26">
        <v>45577</v>
      </c>
    </row>
    <row r="11" spans="1:16" x14ac:dyDescent="0.3">
      <c r="A11" s="27" t="s">
        <v>152</v>
      </c>
      <c r="B11" s="31" t="s">
        <v>17</v>
      </c>
      <c r="C11" s="27" t="s">
        <v>69</v>
      </c>
      <c r="D11" s="27" t="s">
        <v>153</v>
      </c>
      <c r="E11" s="27" t="s">
        <v>19</v>
      </c>
      <c r="F11" s="27">
        <v>27</v>
      </c>
      <c r="G11" s="27" t="s">
        <v>17</v>
      </c>
      <c r="H11" s="27" t="s">
        <v>69</v>
      </c>
      <c r="I11" s="27" t="s">
        <v>153</v>
      </c>
      <c r="J11" s="27" t="s">
        <v>19</v>
      </c>
      <c r="K11" s="31">
        <v>27</v>
      </c>
      <c r="L11" s="27" t="s">
        <v>51</v>
      </c>
      <c r="M11" s="27" t="s">
        <v>51</v>
      </c>
      <c r="N11" s="27" t="s">
        <v>154</v>
      </c>
      <c r="O11" s="27" t="s">
        <v>155</v>
      </c>
      <c r="P11" s="27">
        <v>45578</v>
      </c>
    </row>
    <row r="12" spans="1:16" x14ac:dyDescent="0.3">
      <c r="A12" s="26" t="s">
        <v>156</v>
      </c>
      <c r="B12" s="30" t="s">
        <v>17</v>
      </c>
      <c r="C12" s="26" t="s">
        <v>69</v>
      </c>
      <c r="D12" s="26" t="s">
        <v>157</v>
      </c>
      <c r="E12" s="26" t="s">
        <v>19</v>
      </c>
      <c r="F12" s="26">
        <v>28</v>
      </c>
      <c r="G12" s="26" t="s">
        <v>17</v>
      </c>
      <c r="H12" s="26" t="s">
        <v>69</v>
      </c>
      <c r="I12" s="26" t="s">
        <v>157</v>
      </c>
      <c r="J12" s="26" t="s">
        <v>19</v>
      </c>
      <c r="K12" s="30">
        <v>28</v>
      </c>
      <c r="L12" s="26" t="s">
        <v>51</v>
      </c>
      <c r="M12" s="26" t="s">
        <v>51</v>
      </c>
      <c r="N12" s="26" t="s">
        <v>158</v>
      </c>
      <c r="O12" s="26" t="s">
        <v>159</v>
      </c>
      <c r="P12" s="26">
        <v>45579</v>
      </c>
    </row>
    <row r="13" spans="1:16" x14ac:dyDescent="0.3">
      <c r="A13" s="27" t="s">
        <v>160</v>
      </c>
      <c r="B13" s="31" t="s">
        <v>17</v>
      </c>
      <c r="C13" s="27" t="s">
        <v>69</v>
      </c>
      <c r="D13" s="27" t="s">
        <v>161</v>
      </c>
      <c r="E13" s="27" t="s">
        <v>19</v>
      </c>
      <c r="F13" s="27">
        <v>29</v>
      </c>
      <c r="G13" s="27" t="s">
        <v>17</v>
      </c>
      <c r="H13" s="27" t="s">
        <v>69</v>
      </c>
      <c r="I13" s="27" t="s">
        <v>161</v>
      </c>
      <c r="J13" s="27" t="s">
        <v>19</v>
      </c>
      <c r="K13" s="31">
        <v>29</v>
      </c>
      <c r="L13" s="27" t="s">
        <v>51</v>
      </c>
      <c r="M13" s="27" t="s">
        <v>51</v>
      </c>
      <c r="N13" s="27" t="s">
        <v>162</v>
      </c>
      <c r="O13" s="27" t="s">
        <v>163</v>
      </c>
      <c r="P13" s="27">
        <v>45580</v>
      </c>
    </row>
    <row r="14" spans="1:16" x14ac:dyDescent="0.3">
      <c r="A14" s="26" t="s">
        <v>164</v>
      </c>
      <c r="B14" s="30" t="s">
        <v>17</v>
      </c>
      <c r="C14" s="26" t="s">
        <v>69</v>
      </c>
      <c r="D14" s="26" t="s">
        <v>165</v>
      </c>
      <c r="E14" s="26" t="s">
        <v>19</v>
      </c>
      <c r="F14" s="26">
        <v>30</v>
      </c>
      <c r="G14" s="26" t="s">
        <v>17</v>
      </c>
      <c r="H14" s="26" t="s">
        <v>69</v>
      </c>
      <c r="I14" s="26" t="s">
        <v>165</v>
      </c>
      <c r="J14" s="26" t="s">
        <v>19</v>
      </c>
      <c r="K14" s="30">
        <v>30</v>
      </c>
      <c r="L14" s="26" t="s">
        <v>51</v>
      </c>
      <c r="M14" s="26" t="s">
        <v>51</v>
      </c>
      <c r="N14" s="26" t="s">
        <v>166</v>
      </c>
      <c r="O14" s="26" t="s">
        <v>167</v>
      </c>
      <c r="P14" s="26">
        <v>45581</v>
      </c>
    </row>
    <row r="15" spans="1:16" x14ac:dyDescent="0.3">
      <c r="A15" s="27" t="s">
        <v>168</v>
      </c>
      <c r="B15" s="31" t="s">
        <v>17</v>
      </c>
      <c r="C15" s="27" t="s">
        <v>69</v>
      </c>
      <c r="D15" s="27" t="s">
        <v>169</v>
      </c>
      <c r="E15" s="27" t="s">
        <v>19</v>
      </c>
      <c r="F15" s="27">
        <v>31</v>
      </c>
      <c r="G15" s="27" t="s">
        <v>17</v>
      </c>
      <c r="H15" s="27" t="s">
        <v>69</v>
      </c>
      <c r="I15" s="27" t="s">
        <v>169</v>
      </c>
      <c r="J15" s="27" t="s">
        <v>19</v>
      </c>
      <c r="K15" s="31">
        <v>31</v>
      </c>
      <c r="L15" s="27" t="s">
        <v>51</v>
      </c>
      <c r="M15" s="27" t="s">
        <v>51</v>
      </c>
      <c r="N15" s="27" t="s">
        <v>170</v>
      </c>
      <c r="O15" s="27" t="s">
        <v>171</v>
      </c>
      <c r="P15" s="27">
        <v>45582</v>
      </c>
    </row>
    <row r="16" spans="1:16" x14ac:dyDescent="0.3">
      <c r="A16" s="26" t="s">
        <v>172</v>
      </c>
      <c r="B16" s="30" t="s">
        <v>17</v>
      </c>
      <c r="C16" s="26" t="s">
        <v>69</v>
      </c>
      <c r="D16" s="26" t="s">
        <v>173</v>
      </c>
      <c r="E16" s="26" t="s">
        <v>19</v>
      </c>
      <c r="F16" s="26">
        <v>32</v>
      </c>
      <c r="G16" s="26" t="s">
        <v>17</v>
      </c>
      <c r="H16" s="26" t="s">
        <v>69</v>
      </c>
      <c r="I16" s="26" t="s">
        <v>173</v>
      </c>
      <c r="J16" s="26" t="s">
        <v>19</v>
      </c>
      <c r="K16" s="30">
        <v>32</v>
      </c>
      <c r="L16" s="26" t="s">
        <v>51</v>
      </c>
      <c r="M16" s="26" t="s">
        <v>51</v>
      </c>
      <c r="N16" s="26" t="s">
        <v>174</v>
      </c>
      <c r="O16" s="26" t="s">
        <v>175</v>
      </c>
      <c r="P16" s="26">
        <v>45583</v>
      </c>
    </row>
    <row r="17" spans="1:16" x14ac:dyDescent="0.3">
      <c r="A17" s="27" t="s">
        <v>176</v>
      </c>
      <c r="B17" s="31" t="s">
        <v>17</v>
      </c>
      <c r="C17" s="27" t="s">
        <v>69</v>
      </c>
      <c r="D17" s="27" t="s">
        <v>177</v>
      </c>
      <c r="E17" s="27" t="s">
        <v>19</v>
      </c>
      <c r="F17" s="27">
        <v>33</v>
      </c>
      <c r="G17" s="27" t="s">
        <v>17</v>
      </c>
      <c r="H17" s="27" t="s">
        <v>69</v>
      </c>
      <c r="I17" s="27" t="s">
        <v>177</v>
      </c>
      <c r="J17" s="27" t="s">
        <v>19</v>
      </c>
      <c r="K17" s="31">
        <v>33</v>
      </c>
      <c r="L17" s="27" t="s">
        <v>51</v>
      </c>
      <c r="M17" s="27" t="s">
        <v>51</v>
      </c>
      <c r="N17" s="27" t="s">
        <v>178</v>
      </c>
      <c r="O17" s="27" t="s">
        <v>179</v>
      </c>
      <c r="P17" s="27">
        <v>45584</v>
      </c>
    </row>
    <row r="18" spans="1:16" x14ac:dyDescent="0.3">
      <c r="A18" s="26" t="s">
        <v>180</v>
      </c>
      <c r="B18" s="30" t="s">
        <v>17</v>
      </c>
      <c r="C18" s="26" t="s">
        <v>69</v>
      </c>
      <c r="D18" s="26" t="s">
        <v>181</v>
      </c>
      <c r="E18" s="26" t="s">
        <v>19</v>
      </c>
      <c r="F18" s="26">
        <v>34</v>
      </c>
      <c r="G18" s="26" t="s">
        <v>17</v>
      </c>
      <c r="H18" s="26" t="s">
        <v>69</v>
      </c>
      <c r="I18" s="26" t="s">
        <v>181</v>
      </c>
      <c r="J18" s="26" t="s">
        <v>19</v>
      </c>
      <c r="K18" s="30">
        <v>34</v>
      </c>
      <c r="L18" s="26" t="s">
        <v>51</v>
      </c>
      <c r="M18" s="26" t="s">
        <v>51</v>
      </c>
      <c r="N18" s="26" t="s">
        <v>182</v>
      </c>
      <c r="O18" s="26" t="s">
        <v>183</v>
      </c>
      <c r="P18" s="26">
        <v>45585</v>
      </c>
    </row>
    <row r="19" spans="1:16" x14ac:dyDescent="0.3">
      <c r="A19" s="27" t="s">
        <v>184</v>
      </c>
      <c r="B19" s="31" t="s">
        <v>17</v>
      </c>
      <c r="C19" s="27" t="s">
        <v>69</v>
      </c>
      <c r="D19" s="27" t="s">
        <v>185</v>
      </c>
      <c r="E19" s="27" t="s">
        <v>19</v>
      </c>
      <c r="F19" s="27">
        <v>35</v>
      </c>
      <c r="G19" s="27" t="s">
        <v>17</v>
      </c>
      <c r="H19" s="27" t="s">
        <v>69</v>
      </c>
      <c r="I19" s="27" t="s">
        <v>185</v>
      </c>
      <c r="J19" s="27" t="s">
        <v>19</v>
      </c>
      <c r="K19" s="31">
        <v>35</v>
      </c>
      <c r="L19" s="27" t="s">
        <v>51</v>
      </c>
      <c r="M19" s="27" t="s">
        <v>51</v>
      </c>
      <c r="N19" s="27" t="s">
        <v>186</v>
      </c>
      <c r="O19" s="27" t="s">
        <v>187</v>
      </c>
      <c r="P19" s="27">
        <v>45586</v>
      </c>
    </row>
    <row r="20" spans="1:16" x14ac:dyDescent="0.3">
      <c r="A20" s="26" t="s">
        <v>188</v>
      </c>
      <c r="B20" s="30" t="s">
        <v>17</v>
      </c>
      <c r="C20" s="26" t="s">
        <v>69</v>
      </c>
      <c r="D20" s="26" t="s">
        <v>189</v>
      </c>
      <c r="E20" s="26" t="s">
        <v>19</v>
      </c>
      <c r="F20" s="26">
        <v>36</v>
      </c>
      <c r="G20" s="26" t="s">
        <v>17</v>
      </c>
      <c r="H20" s="26" t="s">
        <v>69</v>
      </c>
      <c r="I20" s="26" t="s">
        <v>189</v>
      </c>
      <c r="J20" s="26" t="s">
        <v>19</v>
      </c>
      <c r="K20" s="30">
        <v>36</v>
      </c>
      <c r="L20" s="26" t="s">
        <v>51</v>
      </c>
      <c r="M20" s="26" t="s">
        <v>51</v>
      </c>
      <c r="N20" s="26" t="s">
        <v>190</v>
      </c>
      <c r="O20" s="26" t="s">
        <v>191</v>
      </c>
      <c r="P20" s="26">
        <v>45587</v>
      </c>
    </row>
    <row r="21" spans="1:16" x14ac:dyDescent="0.3">
      <c r="A21" s="27" t="s">
        <v>192</v>
      </c>
      <c r="B21" s="31" t="s">
        <v>17</v>
      </c>
      <c r="C21" s="27" t="s">
        <v>69</v>
      </c>
      <c r="D21" s="27" t="s">
        <v>193</v>
      </c>
      <c r="E21" s="27" t="s">
        <v>19</v>
      </c>
      <c r="F21" s="27">
        <v>37</v>
      </c>
      <c r="G21" s="27" t="s">
        <v>17</v>
      </c>
      <c r="H21" s="27" t="s">
        <v>69</v>
      </c>
      <c r="I21" s="27" t="s">
        <v>193</v>
      </c>
      <c r="J21" s="27" t="s">
        <v>19</v>
      </c>
      <c r="K21" s="31">
        <v>37</v>
      </c>
      <c r="L21" s="27" t="s">
        <v>51</v>
      </c>
      <c r="M21" s="27" t="s">
        <v>51</v>
      </c>
      <c r="N21" s="27" t="s">
        <v>194</v>
      </c>
      <c r="O21" s="27" t="s">
        <v>195</v>
      </c>
      <c r="P21" s="27">
        <v>45588</v>
      </c>
    </row>
    <row r="22" spans="1:16" x14ac:dyDescent="0.3">
      <c r="A22" s="26" t="s">
        <v>196</v>
      </c>
      <c r="B22" s="30" t="s">
        <v>17</v>
      </c>
      <c r="C22" s="26" t="s">
        <v>69</v>
      </c>
      <c r="D22" s="26" t="s">
        <v>197</v>
      </c>
      <c r="E22" s="26" t="s">
        <v>19</v>
      </c>
      <c r="F22" s="26">
        <v>38</v>
      </c>
      <c r="G22" s="26" t="s">
        <v>17</v>
      </c>
      <c r="H22" s="26" t="s">
        <v>69</v>
      </c>
      <c r="I22" s="26" t="s">
        <v>197</v>
      </c>
      <c r="J22" s="26" t="s">
        <v>19</v>
      </c>
      <c r="K22" s="30">
        <v>38</v>
      </c>
      <c r="L22" s="26" t="s">
        <v>51</v>
      </c>
      <c r="M22" s="26" t="s">
        <v>51</v>
      </c>
      <c r="N22" s="26" t="s">
        <v>198</v>
      </c>
      <c r="O22" s="26" t="s">
        <v>199</v>
      </c>
      <c r="P22" s="26">
        <v>45589</v>
      </c>
    </row>
    <row r="23" spans="1:16" x14ac:dyDescent="0.3">
      <c r="A23" s="27" t="s">
        <v>200</v>
      </c>
      <c r="B23" s="31" t="s">
        <v>17</v>
      </c>
      <c r="C23" s="27" t="s">
        <v>69</v>
      </c>
      <c r="D23" s="27" t="s">
        <v>201</v>
      </c>
      <c r="E23" s="27" t="s">
        <v>19</v>
      </c>
      <c r="F23" s="27">
        <v>39</v>
      </c>
      <c r="G23" s="27" t="s">
        <v>17</v>
      </c>
      <c r="H23" s="27" t="s">
        <v>69</v>
      </c>
      <c r="I23" s="27" t="s">
        <v>201</v>
      </c>
      <c r="J23" s="27" t="s">
        <v>19</v>
      </c>
      <c r="K23" s="31">
        <v>39</v>
      </c>
      <c r="L23" s="27" t="s">
        <v>51</v>
      </c>
      <c r="M23" s="27" t="s">
        <v>51</v>
      </c>
      <c r="N23" s="27" t="s">
        <v>202</v>
      </c>
      <c r="O23" s="27" t="s">
        <v>203</v>
      </c>
      <c r="P23" s="27">
        <v>45590</v>
      </c>
    </row>
    <row r="24" spans="1:16" x14ac:dyDescent="0.3">
      <c r="A24" s="26" t="s">
        <v>204</v>
      </c>
      <c r="B24" s="30" t="s">
        <v>17</v>
      </c>
      <c r="C24" s="26" t="s">
        <v>69</v>
      </c>
      <c r="D24" s="26" t="s">
        <v>205</v>
      </c>
      <c r="E24" s="26" t="s">
        <v>19</v>
      </c>
      <c r="F24" s="26">
        <v>40</v>
      </c>
      <c r="G24" s="26" t="s">
        <v>17</v>
      </c>
      <c r="H24" s="26" t="s">
        <v>69</v>
      </c>
      <c r="I24" s="26" t="s">
        <v>205</v>
      </c>
      <c r="J24" s="26" t="s">
        <v>19</v>
      </c>
      <c r="K24" s="30">
        <v>40</v>
      </c>
      <c r="L24" s="26" t="s">
        <v>51</v>
      </c>
      <c r="M24" s="26" t="s">
        <v>51</v>
      </c>
      <c r="N24" s="26" t="s">
        <v>206</v>
      </c>
      <c r="O24" s="26" t="s">
        <v>207</v>
      </c>
      <c r="P24" s="26">
        <v>45591</v>
      </c>
    </row>
    <row r="25" spans="1:16" x14ac:dyDescent="0.3">
      <c r="A25" s="27" t="s">
        <v>208</v>
      </c>
      <c r="B25" s="31" t="s">
        <v>17</v>
      </c>
      <c r="C25" s="27" t="s">
        <v>69</v>
      </c>
      <c r="D25" s="27" t="s">
        <v>209</v>
      </c>
      <c r="E25" s="27" t="s">
        <v>19</v>
      </c>
      <c r="F25" s="27">
        <v>41</v>
      </c>
      <c r="G25" s="27" t="s">
        <v>17</v>
      </c>
      <c r="H25" s="27" t="s">
        <v>69</v>
      </c>
      <c r="I25" s="27" t="s">
        <v>209</v>
      </c>
      <c r="J25" s="27" t="s">
        <v>19</v>
      </c>
      <c r="K25" s="31">
        <v>41</v>
      </c>
      <c r="L25" s="27" t="s">
        <v>51</v>
      </c>
      <c r="M25" s="27" t="s">
        <v>51</v>
      </c>
      <c r="N25" s="27" t="s">
        <v>210</v>
      </c>
      <c r="O25" s="27" t="s">
        <v>211</v>
      </c>
      <c r="P25" s="27">
        <v>45592</v>
      </c>
    </row>
    <row r="26" spans="1:16" x14ac:dyDescent="0.3">
      <c r="A26" s="26" t="s">
        <v>212</v>
      </c>
      <c r="B26" s="30" t="s">
        <v>17</v>
      </c>
      <c r="C26" s="26" t="s">
        <v>69</v>
      </c>
      <c r="D26" s="26" t="s">
        <v>213</v>
      </c>
      <c r="E26" s="26" t="s">
        <v>19</v>
      </c>
      <c r="F26" s="26">
        <v>42</v>
      </c>
      <c r="G26" s="26" t="s">
        <v>17</v>
      </c>
      <c r="H26" s="26" t="s">
        <v>69</v>
      </c>
      <c r="I26" s="26" t="s">
        <v>213</v>
      </c>
      <c r="J26" s="26" t="s">
        <v>19</v>
      </c>
      <c r="K26" s="30">
        <v>42</v>
      </c>
      <c r="L26" s="26" t="s">
        <v>51</v>
      </c>
      <c r="M26" s="26" t="s">
        <v>51</v>
      </c>
      <c r="N26" s="26" t="s">
        <v>214</v>
      </c>
      <c r="O26" s="26" t="s">
        <v>215</v>
      </c>
      <c r="P26" s="26">
        <v>45593</v>
      </c>
    </row>
    <row r="27" spans="1:16" x14ac:dyDescent="0.3">
      <c r="A27" s="27" t="s">
        <v>216</v>
      </c>
      <c r="B27" s="31" t="s">
        <v>17</v>
      </c>
      <c r="C27" s="27" t="s">
        <v>69</v>
      </c>
      <c r="D27" s="27" t="s">
        <v>217</v>
      </c>
      <c r="E27" s="27" t="s">
        <v>19</v>
      </c>
      <c r="F27" s="27">
        <v>43</v>
      </c>
      <c r="G27" s="27" t="s">
        <v>17</v>
      </c>
      <c r="H27" s="27" t="s">
        <v>69</v>
      </c>
      <c r="I27" s="27" t="s">
        <v>217</v>
      </c>
      <c r="J27" s="27" t="s">
        <v>19</v>
      </c>
      <c r="K27" s="31">
        <v>43</v>
      </c>
      <c r="L27" s="27" t="s">
        <v>51</v>
      </c>
      <c r="M27" s="27" t="s">
        <v>51</v>
      </c>
      <c r="N27" s="27" t="s">
        <v>218</v>
      </c>
      <c r="O27" s="27" t="s">
        <v>219</v>
      </c>
      <c r="P27" s="27">
        <v>45594</v>
      </c>
    </row>
    <row r="28" spans="1:16" x14ac:dyDescent="0.3">
      <c r="A28" s="26" t="s">
        <v>220</v>
      </c>
      <c r="B28" s="30" t="s">
        <v>17</v>
      </c>
      <c r="C28" s="26" t="s">
        <v>69</v>
      </c>
      <c r="D28" s="26" t="s">
        <v>221</v>
      </c>
      <c r="E28" s="26" t="s">
        <v>19</v>
      </c>
      <c r="F28" s="26">
        <v>44</v>
      </c>
      <c r="G28" s="26" t="s">
        <v>17</v>
      </c>
      <c r="H28" s="26" t="s">
        <v>69</v>
      </c>
      <c r="I28" s="26" t="s">
        <v>221</v>
      </c>
      <c r="J28" s="26" t="s">
        <v>19</v>
      </c>
      <c r="K28" s="30">
        <v>44</v>
      </c>
      <c r="L28" s="26" t="s">
        <v>51</v>
      </c>
      <c r="M28" s="26" t="s">
        <v>51</v>
      </c>
      <c r="N28" s="26" t="s">
        <v>222</v>
      </c>
      <c r="O28" s="26" t="s">
        <v>223</v>
      </c>
      <c r="P28" s="26">
        <v>45595</v>
      </c>
    </row>
    <row r="29" spans="1:16" x14ac:dyDescent="0.3">
      <c r="A29" s="27" t="s">
        <v>224</v>
      </c>
      <c r="B29" s="31" t="s">
        <v>17</v>
      </c>
      <c r="C29" s="27" t="s">
        <v>69</v>
      </c>
      <c r="D29" s="27" t="s">
        <v>225</v>
      </c>
      <c r="E29" s="27" t="s">
        <v>19</v>
      </c>
      <c r="F29" s="27">
        <v>45</v>
      </c>
      <c r="G29" s="27" t="s">
        <v>17</v>
      </c>
      <c r="H29" s="27" t="s">
        <v>69</v>
      </c>
      <c r="I29" s="27" t="s">
        <v>225</v>
      </c>
      <c r="J29" s="27" t="s">
        <v>19</v>
      </c>
      <c r="K29" s="31">
        <v>45</v>
      </c>
      <c r="L29" s="27" t="s">
        <v>51</v>
      </c>
      <c r="M29" s="27" t="s">
        <v>51</v>
      </c>
      <c r="N29" s="27" t="s">
        <v>226</v>
      </c>
      <c r="O29" s="27" t="s">
        <v>227</v>
      </c>
      <c r="P29" s="27">
        <v>45596</v>
      </c>
    </row>
    <row r="30" spans="1:16" x14ac:dyDescent="0.3">
      <c r="A30" s="26" t="s">
        <v>228</v>
      </c>
      <c r="B30" s="30" t="s">
        <v>17</v>
      </c>
      <c r="C30" s="26" t="s">
        <v>69</v>
      </c>
      <c r="D30" s="26" t="s">
        <v>229</v>
      </c>
      <c r="E30" s="26" t="s">
        <v>19</v>
      </c>
      <c r="F30" s="26">
        <v>46</v>
      </c>
      <c r="G30" s="26" t="s">
        <v>17</v>
      </c>
      <c r="H30" s="26" t="s">
        <v>69</v>
      </c>
      <c r="I30" s="26" t="s">
        <v>229</v>
      </c>
      <c r="J30" s="26" t="s">
        <v>19</v>
      </c>
      <c r="K30" s="30">
        <v>46</v>
      </c>
      <c r="L30" s="26" t="s">
        <v>51</v>
      </c>
      <c r="M30" s="26" t="s">
        <v>51</v>
      </c>
      <c r="N30" s="26" t="s">
        <v>230</v>
      </c>
      <c r="O30" s="26" t="s">
        <v>231</v>
      </c>
      <c r="P30" s="26">
        <v>45597</v>
      </c>
    </row>
    <row r="31" spans="1:16" x14ac:dyDescent="0.3">
      <c r="A31" s="27" t="s">
        <v>232</v>
      </c>
      <c r="B31" s="31" t="s">
        <v>17</v>
      </c>
      <c r="C31" s="27" t="s">
        <v>69</v>
      </c>
      <c r="D31" s="27" t="s">
        <v>233</v>
      </c>
      <c r="E31" s="27" t="s">
        <v>19</v>
      </c>
      <c r="F31" s="27">
        <v>47</v>
      </c>
      <c r="G31" s="27" t="s">
        <v>17</v>
      </c>
      <c r="H31" s="27" t="s">
        <v>69</v>
      </c>
      <c r="I31" s="27" t="s">
        <v>233</v>
      </c>
      <c r="J31" s="27" t="s">
        <v>19</v>
      </c>
      <c r="K31" s="31">
        <v>47</v>
      </c>
      <c r="L31" s="27" t="s">
        <v>51</v>
      </c>
      <c r="M31" s="27" t="s">
        <v>51</v>
      </c>
      <c r="N31" s="27" t="s">
        <v>234</v>
      </c>
      <c r="O31" s="27" t="s">
        <v>235</v>
      </c>
      <c r="P31" s="27">
        <v>45598</v>
      </c>
    </row>
    <row r="32" spans="1:16" x14ac:dyDescent="0.3">
      <c r="A32" s="26" t="s">
        <v>236</v>
      </c>
      <c r="B32" s="30" t="s">
        <v>17</v>
      </c>
      <c r="C32" s="26" t="s">
        <v>69</v>
      </c>
      <c r="D32" s="26" t="s">
        <v>237</v>
      </c>
      <c r="E32" s="26" t="s">
        <v>19</v>
      </c>
      <c r="F32" s="26">
        <v>48</v>
      </c>
      <c r="G32" s="26" t="s">
        <v>17</v>
      </c>
      <c r="H32" s="26" t="s">
        <v>69</v>
      </c>
      <c r="I32" s="26" t="s">
        <v>237</v>
      </c>
      <c r="J32" s="26" t="s">
        <v>19</v>
      </c>
      <c r="K32" s="30">
        <v>48</v>
      </c>
      <c r="L32" s="26" t="s">
        <v>51</v>
      </c>
      <c r="M32" s="26" t="s">
        <v>51</v>
      </c>
      <c r="N32" s="26" t="s">
        <v>238</v>
      </c>
      <c r="O32" s="26" t="s">
        <v>239</v>
      </c>
      <c r="P32" s="26">
        <v>45599</v>
      </c>
    </row>
    <row r="33" spans="1:16" x14ac:dyDescent="0.3">
      <c r="A33" s="27" t="s">
        <v>240</v>
      </c>
      <c r="B33" s="31" t="s">
        <v>17</v>
      </c>
      <c r="C33" s="27" t="s">
        <v>69</v>
      </c>
      <c r="D33" s="27" t="s">
        <v>241</v>
      </c>
      <c r="E33" s="27" t="s">
        <v>19</v>
      </c>
      <c r="F33" s="27">
        <v>49</v>
      </c>
      <c r="G33" s="27" t="s">
        <v>17</v>
      </c>
      <c r="H33" s="27" t="s">
        <v>69</v>
      </c>
      <c r="I33" s="27" t="s">
        <v>241</v>
      </c>
      <c r="J33" s="27" t="s">
        <v>19</v>
      </c>
      <c r="K33" s="31">
        <v>49</v>
      </c>
      <c r="L33" s="27" t="s">
        <v>51</v>
      </c>
      <c r="M33" s="27" t="s">
        <v>51</v>
      </c>
      <c r="N33" s="27" t="s">
        <v>242</v>
      </c>
      <c r="O33" s="27" t="s">
        <v>243</v>
      </c>
      <c r="P33" s="27">
        <v>45600</v>
      </c>
    </row>
    <row r="34" spans="1:16" x14ac:dyDescent="0.3">
      <c r="A34" s="26" t="s">
        <v>244</v>
      </c>
      <c r="B34" s="30" t="s">
        <v>17</v>
      </c>
      <c r="C34" s="26" t="s">
        <v>69</v>
      </c>
      <c r="D34" s="26" t="s">
        <v>245</v>
      </c>
      <c r="E34" s="26" t="s">
        <v>19</v>
      </c>
      <c r="F34" s="26">
        <v>50</v>
      </c>
      <c r="G34" s="26" t="s">
        <v>17</v>
      </c>
      <c r="H34" s="26" t="s">
        <v>69</v>
      </c>
      <c r="I34" s="26" t="s">
        <v>245</v>
      </c>
      <c r="J34" s="26" t="s">
        <v>19</v>
      </c>
      <c r="K34" s="30">
        <v>50</v>
      </c>
      <c r="L34" s="26" t="s">
        <v>51</v>
      </c>
      <c r="M34" s="26" t="s">
        <v>51</v>
      </c>
      <c r="N34" s="26" t="s">
        <v>246</v>
      </c>
      <c r="O34" s="26" t="s">
        <v>247</v>
      </c>
      <c r="P34" s="26">
        <v>45601</v>
      </c>
    </row>
    <row r="35" spans="1:16" x14ac:dyDescent="0.3">
      <c r="A35" s="27" t="s">
        <v>248</v>
      </c>
      <c r="B35" s="31" t="s">
        <v>17</v>
      </c>
      <c r="C35" s="27" t="s">
        <v>69</v>
      </c>
      <c r="D35" s="27" t="s">
        <v>249</v>
      </c>
      <c r="E35" s="27" t="s">
        <v>19</v>
      </c>
      <c r="F35" s="27">
        <v>51</v>
      </c>
      <c r="G35" s="27" t="s">
        <v>17</v>
      </c>
      <c r="H35" s="27" t="s">
        <v>69</v>
      </c>
      <c r="I35" s="27" t="s">
        <v>249</v>
      </c>
      <c r="J35" s="27" t="s">
        <v>19</v>
      </c>
      <c r="K35" s="31">
        <v>51</v>
      </c>
      <c r="L35" s="27" t="s">
        <v>51</v>
      </c>
      <c r="M35" s="27" t="s">
        <v>51</v>
      </c>
      <c r="N35" s="27" t="s">
        <v>250</v>
      </c>
      <c r="O35" s="27" t="s">
        <v>251</v>
      </c>
      <c r="P35" s="27">
        <v>45602</v>
      </c>
    </row>
    <row r="36" spans="1:16" x14ac:dyDescent="0.3">
      <c r="A36" s="26" t="s">
        <v>252</v>
      </c>
      <c r="B36" s="30" t="s">
        <v>17</v>
      </c>
      <c r="C36" s="26" t="s">
        <v>69</v>
      </c>
      <c r="D36" s="26" t="s">
        <v>253</v>
      </c>
      <c r="E36" s="26" t="s">
        <v>19</v>
      </c>
      <c r="F36" s="26">
        <v>52</v>
      </c>
      <c r="G36" s="26" t="s">
        <v>17</v>
      </c>
      <c r="H36" s="26" t="s">
        <v>69</v>
      </c>
      <c r="I36" s="26" t="s">
        <v>253</v>
      </c>
      <c r="J36" s="26" t="s">
        <v>19</v>
      </c>
      <c r="K36" s="30">
        <v>52</v>
      </c>
      <c r="L36" s="26" t="s">
        <v>51</v>
      </c>
      <c r="M36" s="26" t="s">
        <v>51</v>
      </c>
      <c r="N36" s="26" t="s">
        <v>254</v>
      </c>
      <c r="O36" s="26" t="s">
        <v>255</v>
      </c>
      <c r="P36" s="26">
        <v>45603</v>
      </c>
    </row>
    <row r="37" spans="1:16" x14ac:dyDescent="0.3">
      <c r="A37" s="27" t="s">
        <v>256</v>
      </c>
      <c r="B37" s="31" t="s">
        <v>17</v>
      </c>
      <c r="C37" s="27" t="s">
        <v>69</v>
      </c>
      <c r="D37" s="27" t="s">
        <v>257</v>
      </c>
      <c r="E37" s="27" t="s">
        <v>19</v>
      </c>
      <c r="F37" s="27">
        <v>53</v>
      </c>
      <c r="G37" s="27" t="s">
        <v>17</v>
      </c>
      <c r="H37" s="27" t="s">
        <v>69</v>
      </c>
      <c r="I37" s="27" t="s">
        <v>257</v>
      </c>
      <c r="J37" s="27" t="s">
        <v>19</v>
      </c>
      <c r="K37" s="31">
        <v>53</v>
      </c>
      <c r="L37" s="27" t="s">
        <v>51</v>
      </c>
      <c r="M37" s="27" t="s">
        <v>51</v>
      </c>
      <c r="N37" s="27" t="s">
        <v>258</v>
      </c>
      <c r="O37" s="27" t="s">
        <v>259</v>
      </c>
      <c r="P37" s="27">
        <v>45604</v>
      </c>
    </row>
    <row r="38" spans="1:16" x14ac:dyDescent="0.3">
      <c r="A38" s="26" t="s">
        <v>260</v>
      </c>
      <c r="B38" s="30" t="s">
        <v>17</v>
      </c>
      <c r="C38" s="26" t="s">
        <v>69</v>
      </c>
      <c r="D38" s="26" t="s">
        <v>261</v>
      </c>
      <c r="E38" s="26" t="s">
        <v>19</v>
      </c>
      <c r="F38" s="26">
        <v>54</v>
      </c>
      <c r="G38" s="26" t="s">
        <v>17</v>
      </c>
      <c r="H38" s="26" t="s">
        <v>69</v>
      </c>
      <c r="I38" s="26" t="s">
        <v>261</v>
      </c>
      <c r="J38" s="26" t="s">
        <v>19</v>
      </c>
      <c r="K38" s="30">
        <v>54</v>
      </c>
      <c r="L38" s="26" t="s">
        <v>51</v>
      </c>
      <c r="M38" s="26" t="s">
        <v>51</v>
      </c>
      <c r="N38" s="26" t="s">
        <v>262</v>
      </c>
      <c r="O38" s="26" t="s">
        <v>263</v>
      </c>
      <c r="P38" s="26">
        <v>45605</v>
      </c>
    </row>
    <row r="39" spans="1:16" x14ac:dyDescent="0.3">
      <c r="A39" s="27" t="s">
        <v>264</v>
      </c>
      <c r="B39" s="31" t="s">
        <v>17</v>
      </c>
      <c r="C39" s="27" t="s">
        <v>69</v>
      </c>
      <c r="D39" s="27" t="s">
        <v>265</v>
      </c>
      <c r="E39" s="27" t="s">
        <v>19</v>
      </c>
      <c r="F39" s="27">
        <v>55</v>
      </c>
      <c r="G39" s="27" t="s">
        <v>17</v>
      </c>
      <c r="H39" s="27" t="s">
        <v>69</v>
      </c>
      <c r="I39" s="27" t="s">
        <v>265</v>
      </c>
      <c r="J39" s="27" t="s">
        <v>19</v>
      </c>
      <c r="K39" s="31">
        <v>55</v>
      </c>
      <c r="L39" s="27" t="s">
        <v>51</v>
      </c>
      <c r="M39" s="27" t="s">
        <v>51</v>
      </c>
      <c r="N39" s="27" t="s">
        <v>266</v>
      </c>
      <c r="O39" s="27" t="s">
        <v>267</v>
      </c>
      <c r="P39" s="27">
        <v>45606</v>
      </c>
    </row>
    <row r="40" spans="1:16" x14ac:dyDescent="0.3">
      <c r="A40" s="26" t="s">
        <v>268</v>
      </c>
      <c r="B40" s="30" t="s">
        <v>17</v>
      </c>
      <c r="C40" s="26" t="s">
        <v>69</v>
      </c>
      <c r="D40" s="26" t="s">
        <v>269</v>
      </c>
      <c r="E40" s="26" t="s">
        <v>19</v>
      </c>
      <c r="F40" s="26">
        <v>56</v>
      </c>
      <c r="G40" s="26" t="s">
        <v>17</v>
      </c>
      <c r="H40" s="26" t="s">
        <v>69</v>
      </c>
      <c r="I40" s="26" t="s">
        <v>269</v>
      </c>
      <c r="J40" s="26" t="s">
        <v>19</v>
      </c>
      <c r="K40" s="30">
        <v>56</v>
      </c>
      <c r="L40" s="26" t="s">
        <v>51</v>
      </c>
      <c r="M40" s="26" t="s">
        <v>51</v>
      </c>
      <c r="N40" s="26" t="s">
        <v>270</v>
      </c>
      <c r="O40" s="26" t="s">
        <v>271</v>
      </c>
      <c r="P40" s="26">
        <v>45607</v>
      </c>
    </row>
    <row r="41" spans="1:16" x14ac:dyDescent="0.3">
      <c r="A41" s="27" t="s">
        <v>272</v>
      </c>
      <c r="B41" s="31" t="s">
        <v>17</v>
      </c>
      <c r="C41" s="27" t="s">
        <v>69</v>
      </c>
      <c r="D41" s="27" t="s">
        <v>273</v>
      </c>
      <c r="E41" s="27" t="s">
        <v>19</v>
      </c>
      <c r="F41" s="27">
        <v>57</v>
      </c>
      <c r="G41" s="27" t="s">
        <v>17</v>
      </c>
      <c r="H41" s="27" t="s">
        <v>69</v>
      </c>
      <c r="I41" s="27" t="s">
        <v>273</v>
      </c>
      <c r="J41" s="27" t="s">
        <v>19</v>
      </c>
      <c r="K41" s="31">
        <v>57</v>
      </c>
      <c r="L41" s="27" t="s">
        <v>51</v>
      </c>
      <c r="M41" s="27" t="s">
        <v>51</v>
      </c>
      <c r="N41" s="27" t="s">
        <v>274</v>
      </c>
      <c r="O41" s="27" t="s">
        <v>275</v>
      </c>
      <c r="P41" s="27">
        <v>45608</v>
      </c>
    </row>
    <row r="42" spans="1:16" x14ac:dyDescent="0.3">
      <c r="A42" s="26" t="s">
        <v>276</v>
      </c>
      <c r="B42" s="30" t="s">
        <v>17</v>
      </c>
      <c r="C42" s="26" t="s">
        <v>69</v>
      </c>
      <c r="D42" s="26" t="s">
        <v>277</v>
      </c>
      <c r="E42" s="26" t="s">
        <v>19</v>
      </c>
      <c r="F42" s="26">
        <v>58</v>
      </c>
      <c r="G42" s="26" t="s">
        <v>17</v>
      </c>
      <c r="H42" s="26" t="s">
        <v>69</v>
      </c>
      <c r="I42" s="26" t="s">
        <v>277</v>
      </c>
      <c r="J42" s="26" t="s">
        <v>19</v>
      </c>
      <c r="K42" s="30">
        <v>58</v>
      </c>
      <c r="L42" s="26" t="s">
        <v>51</v>
      </c>
      <c r="M42" s="26" t="s">
        <v>51</v>
      </c>
      <c r="N42" s="26" t="s">
        <v>278</v>
      </c>
      <c r="O42" s="26" t="s">
        <v>279</v>
      </c>
      <c r="P42" s="26">
        <v>45609</v>
      </c>
    </row>
    <row r="43" spans="1:16" x14ac:dyDescent="0.3">
      <c r="A43" s="27" t="s">
        <v>280</v>
      </c>
      <c r="B43" s="31" t="s">
        <v>17</v>
      </c>
      <c r="C43" s="27" t="s">
        <v>69</v>
      </c>
      <c r="D43" s="27" t="s">
        <v>281</v>
      </c>
      <c r="E43" s="27" t="s">
        <v>19</v>
      </c>
      <c r="F43" s="27">
        <v>59</v>
      </c>
      <c r="G43" s="27" t="s">
        <v>17</v>
      </c>
      <c r="H43" s="27" t="s">
        <v>69</v>
      </c>
      <c r="I43" s="27" t="s">
        <v>281</v>
      </c>
      <c r="J43" s="27" t="s">
        <v>19</v>
      </c>
      <c r="K43" s="31">
        <v>59</v>
      </c>
      <c r="L43" s="27" t="s">
        <v>51</v>
      </c>
      <c r="M43" s="27" t="s">
        <v>51</v>
      </c>
      <c r="N43" s="27" t="s">
        <v>282</v>
      </c>
      <c r="O43" s="27" t="s">
        <v>283</v>
      </c>
      <c r="P43" s="27">
        <v>45610</v>
      </c>
    </row>
    <row r="44" spans="1:16" x14ac:dyDescent="0.3">
      <c r="A44" s="26" t="s">
        <v>284</v>
      </c>
      <c r="B44" s="30" t="s">
        <v>17</v>
      </c>
      <c r="C44" s="26" t="s">
        <v>69</v>
      </c>
      <c r="D44" s="26" t="s">
        <v>285</v>
      </c>
      <c r="E44" s="26" t="s">
        <v>19</v>
      </c>
      <c r="F44" s="26">
        <v>60</v>
      </c>
      <c r="G44" s="26" t="s">
        <v>17</v>
      </c>
      <c r="H44" s="26" t="s">
        <v>69</v>
      </c>
      <c r="I44" s="26" t="s">
        <v>285</v>
      </c>
      <c r="J44" s="26" t="s">
        <v>19</v>
      </c>
      <c r="K44" s="30">
        <v>60</v>
      </c>
      <c r="L44" s="26" t="s">
        <v>51</v>
      </c>
      <c r="M44" s="26" t="s">
        <v>51</v>
      </c>
      <c r="N44" s="26" t="s">
        <v>286</v>
      </c>
      <c r="O44" s="26" t="s">
        <v>287</v>
      </c>
      <c r="P44" s="26">
        <v>45611</v>
      </c>
    </row>
    <row r="45" spans="1:16" x14ac:dyDescent="0.3">
      <c r="A45" s="27" t="s">
        <v>288</v>
      </c>
      <c r="B45" s="31" t="s">
        <v>17</v>
      </c>
      <c r="C45" s="27" t="s">
        <v>69</v>
      </c>
      <c r="D45" s="27" t="s">
        <v>289</v>
      </c>
      <c r="E45" s="27" t="s">
        <v>19</v>
      </c>
      <c r="F45" s="27">
        <v>61</v>
      </c>
      <c r="G45" s="27" t="s">
        <v>17</v>
      </c>
      <c r="H45" s="27" t="s">
        <v>69</v>
      </c>
      <c r="I45" s="27" t="s">
        <v>289</v>
      </c>
      <c r="J45" s="27" t="s">
        <v>19</v>
      </c>
      <c r="K45" s="31">
        <v>61</v>
      </c>
      <c r="L45" s="27" t="s">
        <v>51</v>
      </c>
      <c r="M45" s="27" t="s">
        <v>51</v>
      </c>
      <c r="N45" s="27" t="s">
        <v>290</v>
      </c>
      <c r="O45" s="27" t="s">
        <v>291</v>
      </c>
      <c r="P45" s="27">
        <v>45612</v>
      </c>
    </row>
    <row r="46" spans="1:16" x14ac:dyDescent="0.3">
      <c r="A46" s="26" t="s">
        <v>292</v>
      </c>
      <c r="B46" s="30" t="s">
        <v>17</v>
      </c>
      <c r="C46" s="26" t="s">
        <v>69</v>
      </c>
      <c r="D46" s="26" t="s">
        <v>293</v>
      </c>
      <c r="E46" s="26" t="s">
        <v>19</v>
      </c>
      <c r="F46" s="26">
        <v>62</v>
      </c>
      <c r="G46" s="26" t="s">
        <v>17</v>
      </c>
      <c r="H46" s="26" t="s">
        <v>69</v>
      </c>
      <c r="I46" s="26" t="s">
        <v>293</v>
      </c>
      <c r="J46" s="26" t="s">
        <v>19</v>
      </c>
      <c r="K46" s="30">
        <v>62</v>
      </c>
      <c r="L46" s="26" t="s">
        <v>51</v>
      </c>
      <c r="M46" s="26" t="s">
        <v>51</v>
      </c>
      <c r="N46" s="26" t="s">
        <v>294</v>
      </c>
      <c r="O46" s="26" t="s">
        <v>295</v>
      </c>
      <c r="P46" s="26">
        <v>45613</v>
      </c>
    </row>
    <row r="47" spans="1:16" x14ac:dyDescent="0.3">
      <c r="A47" s="27" t="s">
        <v>296</v>
      </c>
      <c r="B47" s="31" t="s">
        <v>17</v>
      </c>
      <c r="C47" s="27" t="s">
        <v>69</v>
      </c>
      <c r="D47" s="27" t="s">
        <v>297</v>
      </c>
      <c r="E47" s="27" t="s">
        <v>19</v>
      </c>
      <c r="F47" s="27">
        <v>63</v>
      </c>
      <c r="G47" s="27" t="s">
        <v>17</v>
      </c>
      <c r="H47" s="27" t="s">
        <v>69</v>
      </c>
      <c r="I47" s="27" t="s">
        <v>297</v>
      </c>
      <c r="J47" s="27" t="s">
        <v>19</v>
      </c>
      <c r="K47" s="31">
        <v>63</v>
      </c>
      <c r="L47" s="27" t="s">
        <v>51</v>
      </c>
      <c r="M47" s="27" t="s">
        <v>51</v>
      </c>
      <c r="N47" s="27" t="s">
        <v>298</v>
      </c>
      <c r="O47" s="27" t="s">
        <v>299</v>
      </c>
      <c r="P47" s="27">
        <v>45614</v>
      </c>
    </row>
    <row r="48" spans="1:16" x14ac:dyDescent="0.3">
      <c r="A48" s="26" t="s">
        <v>300</v>
      </c>
      <c r="B48" s="30" t="s">
        <v>17</v>
      </c>
      <c r="C48" s="26" t="s">
        <v>69</v>
      </c>
      <c r="D48" s="26" t="s">
        <v>301</v>
      </c>
      <c r="E48" s="26" t="s">
        <v>19</v>
      </c>
      <c r="F48" s="26">
        <v>64</v>
      </c>
      <c r="G48" s="26" t="s">
        <v>17</v>
      </c>
      <c r="H48" s="26" t="s">
        <v>69</v>
      </c>
      <c r="I48" s="26" t="s">
        <v>301</v>
      </c>
      <c r="J48" s="26" t="s">
        <v>19</v>
      </c>
      <c r="K48" s="30">
        <v>64</v>
      </c>
      <c r="L48" s="26" t="s">
        <v>51</v>
      </c>
      <c r="M48" s="26" t="s">
        <v>51</v>
      </c>
      <c r="N48" s="26" t="s">
        <v>302</v>
      </c>
      <c r="O48" s="26" t="s">
        <v>303</v>
      </c>
      <c r="P48" s="26">
        <v>45615</v>
      </c>
    </row>
    <row r="49" spans="1:16" x14ac:dyDescent="0.3">
      <c r="A49" s="27" t="s">
        <v>304</v>
      </c>
      <c r="B49" s="31" t="s">
        <v>17</v>
      </c>
      <c r="C49" s="27" t="s">
        <v>69</v>
      </c>
      <c r="D49" s="27" t="s">
        <v>305</v>
      </c>
      <c r="E49" s="27" t="s">
        <v>19</v>
      </c>
      <c r="F49" s="27">
        <v>65</v>
      </c>
      <c r="G49" s="27" t="s">
        <v>17</v>
      </c>
      <c r="H49" s="27" t="s">
        <v>69</v>
      </c>
      <c r="I49" s="27" t="s">
        <v>305</v>
      </c>
      <c r="J49" s="27" t="s">
        <v>19</v>
      </c>
      <c r="K49" s="31">
        <v>65</v>
      </c>
      <c r="L49" s="27" t="s">
        <v>51</v>
      </c>
      <c r="M49" s="27" t="s">
        <v>51</v>
      </c>
      <c r="N49" s="27" t="s">
        <v>306</v>
      </c>
      <c r="O49" s="27" t="s">
        <v>307</v>
      </c>
      <c r="P49" s="27">
        <v>45616</v>
      </c>
    </row>
    <row r="50" spans="1:16" ht="15" thickBot="1" x14ac:dyDescent="0.35">
      <c r="A50" s="28" t="s">
        <v>308</v>
      </c>
      <c r="B50" s="32" t="s">
        <v>17</v>
      </c>
      <c r="C50" s="28" t="s">
        <v>69</v>
      </c>
      <c r="D50" s="28" t="s">
        <v>309</v>
      </c>
      <c r="E50" s="28" t="s">
        <v>19</v>
      </c>
      <c r="F50" s="28">
        <v>66</v>
      </c>
      <c r="G50" s="28" t="s">
        <v>17</v>
      </c>
      <c r="H50" s="28" t="s">
        <v>69</v>
      </c>
      <c r="I50" s="28" t="s">
        <v>309</v>
      </c>
      <c r="J50" s="28" t="s">
        <v>19</v>
      </c>
      <c r="K50" s="32">
        <v>66</v>
      </c>
      <c r="L50" s="28" t="s">
        <v>51</v>
      </c>
      <c r="M50" s="28" t="s">
        <v>51</v>
      </c>
      <c r="N50" s="28" t="s">
        <v>310</v>
      </c>
      <c r="O50" s="28" t="s">
        <v>311</v>
      </c>
      <c r="P50" s="28">
        <v>45617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D44C9-66CF-4A20-9EA0-9B48A8CFD6DA}">
  <sheetPr codeName="Sheet4"/>
  <dimension ref="A1:I50"/>
  <sheetViews>
    <sheetView workbookViewId="0">
      <selection activeCell="M25" sqref="M25"/>
    </sheetView>
  </sheetViews>
  <sheetFormatPr defaultRowHeight="14.4" x14ac:dyDescent="0.3"/>
  <cols>
    <col min="1" max="1" width="15" bestFit="1" customWidth="1"/>
    <col min="2" max="2" width="11.109375" bestFit="1" customWidth="1"/>
    <col min="3" max="3" width="11.44140625" bestFit="1" customWidth="1"/>
    <col min="5" max="5" width="22.33203125" bestFit="1" customWidth="1"/>
    <col min="6" max="6" width="11.5546875" bestFit="1" customWidth="1"/>
    <col min="7" max="7" width="16.109375" bestFit="1" customWidth="1"/>
    <col min="8" max="8" width="22.33203125" bestFit="1" customWidth="1"/>
    <col min="9" max="9" width="16.109375" bestFit="1" customWidth="1"/>
  </cols>
  <sheetData>
    <row r="1" spans="1:9" ht="15" thickBot="1" x14ac:dyDescent="0.35">
      <c r="A1" s="29" t="s">
        <v>28</v>
      </c>
      <c r="B1" s="29" t="s">
        <v>5</v>
      </c>
      <c r="C1" s="29" t="s">
        <v>31</v>
      </c>
      <c r="D1" s="29" t="s">
        <v>32</v>
      </c>
      <c r="E1" s="29" t="s">
        <v>34</v>
      </c>
      <c r="F1" s="29" t="s">
        <v>35</v>
      </c>
      <c r="G1" s="29" t="s">
        <v>36</v>
      </c>
      <c r="H1" s="29" t="s">
        <v>34</v>
      </c>
      <c r="I1" s="29" t="s">
        <v>36</v>
      </c>
    </row>
    <row r="2" spans="1:9" x14ac:dyDescent="0.3">
      <c r="A2" s="26" t="s">
        <v>52</v>
      </c>
      <c r="B2" s="30" t="s">
        <v>54</v>
      </c>
      <c r="C2" s="26">
        <v>7202.54</v>
      </c>
      <c r="D2" s="26">
        <v>1</v>
      </c>
      <c r="E2" s="26" t="s">
        <v>55</v>
      </c>
      <c r="F2" s="26" t="s">
        <v>57</v>
      </c>
      <c r="G2" s="26" t="s">
        <v>58</v>
      </c>
      <c r="H2" s="26" t="s">
        <v>56</v>
      </c>
      <c r="I2" s="26" t="s">
        <v>59</v>
      </c>
    </row>
    <row r="3" spans="1:9" x14ac:dyDescent="0.3">
      <c r="A3" s="27" t="s">
        <v>60</v>
      </c>
      <c r="B3" s="31" t="s">
        <v>62</v>
      </c>
      <c r="C3" s="27">
        <v>8897.4599999999991</v>
      </c>
      <c r="D3" s="27">
        <v>1</v>
      </c>
      <c r="E3" s="27" t="s">
        <v>63</v>
      </c>
      <c r="F3" s="27" t="s">
        <v>64</v>
      </c>
      <c r="G3" s="27" t="s">
        <v>65</v>
      </c>
      <c r="H3" s="27" t="s">
        <v>66</v>
      </c>
      <c r="I3" s="27" t="s">
        <v>67</v>
      </c>
    </row>
    <row r="4" spans="1:9" x14ac:dyDescent="0.3">
      <c r="A4" s="26" t="s">
        <v>60</v>
      </c>
      <c r="B4" s="30" t="s">
        <v>72</v>
      </c>
      <c r="C4" s="26">
        <v>9099</v>
      </c>
      <c r="D4" s="26">
        <v>2</v>
      </c>
      <c r="E4" s="26" t="s">
        <v>73</v>
      </c>
      <c r="F4" s="26" t="s">
        <v>64</v>
      </c>
      <c r="G4" s="26" t="s">
        <v>65</v>
      </c>
      <c r="H4" s="26" t="s">
        <v>66</v>
      </c>
      <c r="I4" s="26" t="s">
        <v>67</v>
      </c>
    </row>
    <row r="5" spans="1:9" x14ac:dyDescent="0.3">
      <c r="A5" s="27" t="s">
        <v>60</v>
      </c>
      <c r="B5" s="31" t="s">
        <v>77</v>
      </c>
      <c r="C5" s="27">
        <v>7498</v>
      </c>
      <c r="D5" s="27">
        <v>3</v>
      </c>
      <c r="E5" s="27" t="s">
        <v>74</v>
      </c>
      <c r="F5" s="27" t="s">
        <v>64</v>
      </c>
      <c r="G5" s="27" t="s">
        <v>65</v>
      </c>
      <c r="H5" s="27" t="s">
        <v>66</v>
      </c>
      <c r="I5" s="27" t="s">
        <v>67</v>
      </c>
    </row>
    <row r="6" spans="1:9" x14ac:dyDescent="0.3">
      <c r="A6" s="26" t="s">
        <v>60</v>
      </c>
      <c r="B6" s="30" t="s">
        <v>78</v>
      </c>
      <c r="C6" s="26">
        <v>11499</v>
      </c>
      <c r="D6" s="26">
        <v>1</v>
      </c>
      <c r="E6" s="26" t="s">
        <v>75</v>
      </c>
      <c r="F6" s="26" t="s">
        <v>64</v>
      </c>
      <c r="G6" s="26" t="s">
        <v>65</v>
      </c>
      <c r="H6" s="26" t="s">
        <v>66</v>
      </c>
      <c r="I6" s="26" t="s">
        <v>67</v>
      </c>
    </row>
    <row r="7" spans="1:9" x14ac:dyDescent="0.3">
      <c r="A7" s="27" t="s">
        <v>60</v>
      </c>
      <c r="B7" s="31" t="s">
        <v>79</v>
      </c>
      <c r="C7" s="27">
        <v>8499</v>
      </c>
      <c r="D7" s="27">
        <v>4</v>
      </c>
      <c r="E7" s="27" t="s">
        <v>76</v>
      </c>
      <c r="F7" s="27" t="s">
        <v>64</v>
      </c>
      <c r="G7" s="27" t="s">
        <v>65</v>
      </c>
      <c r="H7" s="27" t="s">
        <v>66</v>
      </c>
      <c r="I7" s="27" t="s">
        <v>67</v>
      </c>
    </row>
    <row r="8" spans="1:9" x14ac:dyDescent="0.3">
      <c r="A8" s="26" t="s">
        <v>126</v>
      </c>
      <c r="B8" s="30" t="s">
        <v>79</v>
      </c>
      <c r="C8" s="26">
        <v>8499</v>
      </c>
      <c r="D8" s="26">
        <v>4</v>
      </c>
      <c r="E8" s="26" t="s">
        <v>322</v>
      </c>
      <c r="F8" s="26" t="s">
        <v>64</v>
      </c>
      <c r="G8" s="26" t="s">
        <v>65</v>
      </c>
      <c r="H8" s="26" t="s">
        <v>66</v>
      </c>
      <c r="I8" s="26" t="s">
        <v>67</v>
      </c>
    </row>
    <row r="9" spans="1:9" x14ac:dyDescent="0.3">
      <c r="A9" s="27" t="s">
        <v>130</v>
      </c>
      <c r="B9" s="31" t="s">
        <v>79</v>
      </c>
      <c r="C9" s="27">
        <v>8499</v>
      </c>
      <c r="D9" s="27">
        <v>4</v>
      </c>
      <c r="E9" s="27" t="s">
        <v>323</v>
      </c>
      <c r="F9" s="27" t="s">
        <v>64</v>
      </c>
      <c r="G9" s="27" t="s">
        <v>65</v>
      </c>
      <c r="H9" s="27" t="s">
        <v>66</v>
      </c>
      <c r="I9" s="27" t="s">
        <v>67</v>
      </c>
    </row>
    <row r="10" spans="1:9" x14ac:dyDescent="0.3">
      <c r="A10" s="26" t="s">
        <v>134</v>
      </c>
      <c r="B10" s="30" t="s">
        <v>79</v>
      </c>
      <c r="C10" s="26">
        <v>8499</v>
      </c>
      <c r="D10" s="26">
        <v>4</v>
      </c>
      <c r="E10" s="26" t="s">
        <v>324</v>
      </c>
      <c r="F10" s="26" t="s">
        <v>64</v>
      </c>
      <c r="G10" s="26" t="s">
        <v>65</v>
      </c>
      <c r="H10" s="26" t="s">
        <v>66</v>
      </c>
      <c r="I10" s="26" t="s">
        <v>67</v>
      </c>
    </row>
    <row r="11" spans="1:9" x14ac:dyDescent="0.3">
      <c r="A11" s="27" t="s">
        <v>138</v>
      </c>
      <c r="B11" s="31" t="s">
        <v>79</v>
      </c>
      <c r="C11" s="27">
        <v>8499</v>
      </c>
      <c r="D11" s="27">
        <v>4</v>
      </c>
      <c r="E11" s="27" t="s">
        <v>325</v>
      </c>
      <c r="F11" s="27" t="s">
        <v>64</v>
      </c>
      <c r="G11" s="27" t="s">
        <v>65</v>
      </c>
      <c r="H11" s="27" t="s">
        <v>66</v>
      </c>
      <c r="I11" s="27" t="s">
        <v>67</v>
      </c>
    </row>
    <row r="12" spans="1:9" x14ac:dyDescent="0.3">
      <c r="A12" s="26" t="s">
        <v>142</v>
      </c>
      <c r="B12" s="30" t="s">
        <v>79</v>
      </c>
      <c r="C12" s="26">
        <v>8499</v>
      </c>
      <c r="D12" s="26">
        <v>4</v>
      </c>
      <c r="E12" s="26" t="s">
        <v>326</v>
      </c>
      <c r="F12" s="26" t="s">
        <v>64</v>
      </c>
      <c r="G12" s="26" t="s">
        <v>65</v>
      </c>
      <c r="H12" s="26" t="s">
        <v>66</v>
      </c>
      <c r="I12" s="26" t="s">
        <v>67</v>
      </c>
    </row>
    <row r="13" spans="1:9" x14ac:dyDescent="0.3">
      <c r="A13" s="27" t="s">
        <v>146</v>
      </c>
      <c r="B13" s="31" t="s">
        <v>79</v>
      </c>
      <c r="C13" s="27">
        <v>8499</v>
      </c>
      <c r="D13" s="27">
        <v>4</v>
      </c>
      <c r="E13" s="27" t="s">
        <v>327</v>
      </c>
      <c r="F13" s="27" t="s">
        <v>64</v>
      </c>
      <c r="G13" s="27" t="s">
        <v>65</v>
      </c>
      <c r="H13" s="27" t="s">
        <v>66</v>
      </c>
      <c r="I13" s="27" t="s">
        <v>67</v>
      </c>
    </row>
    <row r="14" spans="1:9" x14ac:dyDescent="0.3">
      <c r="A14" s="26" t="s">
        <v>150</v>
      </c>
      <c r="B14" s="30" t="s">
        <v>79</v>
      </c>
      <c r="C14" s="26">
        <v>8499</v>
      </c>
      <c r="D14" s="26">
        <v>4</v>
      </c>
      <c r="E14" s="26" t="s">
        <v>328</v>
      </c>
      <c r="F14" s="26" t="s">
        <v>64</v>
      </c>
      <c r="G14" s="26" t="s">
        <v>65</v>
      </c>
      <c r="H14" s="26" t="s">
        <v>66</v>
      </c>
      <c r="I14" s="26" t="s">
        <v>67</v>
      </c>
    </row>
    <row r="15" spans="1:9" x14ac:dyDescent="0.3">
      <c r="A15" s="27" t="s">
        <v>154</v>
      </c>
      <c r="B15" s="31" t="s">
        <v>79</v>
      </c>
      <c r="C15" s="27">
        <v>8499</v>
      </c>
      <c r="D15" s="27">
        <v>4</v>
      </c>
      <c r="E15" s="27" t="s">
        <v>329</v>
      </c>
      <c r="F15" s="27" t="s">
        <v>64</v>
      </c>
      <c r="G15" s="27" t="s">
        <v>65</v>
      </c>
      <c r="H15" s="27" t="s">
        <v>66</v>
      </c>
      <c r="I15" s="27" t="s">
        <v>67</v>
      </c>
    </row>
    <row r="16" spans="1:9" x14ac:dyDescent="0.3">
      <c r="A16" s="26" t="s">
        <v>158</v>
      </c>
      <c r="B16" s="30" t="s">
        <v>79</v>
      </c>
      <c r="C16" s="26">
        <v>8499</v>
      </c>
      <c r="D16" s="26">
        <v>4</v>
      </c>
      <c r="E16" s="26" t="s">
        <v>330</v>
      </c>
      <c r="F16" s="26" t="s">
        <v>64</v>
      </c>
      <c r="G16" s="26" t="s">
        <v>65</v>
      </c>
      <c r="H16" s="26" t="s">
        <v>66</v>
      </c>
      <c r="I16" s="26" t="s">
        <v>67</v>
      </c>
    </row>
    <row r="17" spans="1:9" x14ac:dyDescent="0.3">
      <c r="A17" s="27" t="s">
        <v>162</v>
      </c>
      <c r="B17" s="31" t="s">
        <v>79</v>
      </c>
      <c r="C17" s="27">
        <v>8499</v>
      </c>
      <c r="D17" s="27">
        <v>4</v>
      </c>
      <c r="E17" s="27" t="s">
        <v>331</v>
      </c>
      <c r="F17" s="27" t="s">
        <v>64</v>
      </c>
      <c r="G17" s="27" t="s">
        <v>65</v>
      </c>
      <c r="H17" s="27" t="s">
        <v>66</v>
      </c>
      <c r="I17" s="27" t="s">
        <v>67</v>
      </c>
    </row>
    <row r="18" spans="1:9" x14ac:dyDescent="0.3">
      <c r="A18" s="26" t="s">
        <v>166</v>
      </c>
      <c r="B18" s="30" t="s">
        <v>79</v>
      </c>
      <c r="C18" s="26">
        <v>8499</v>
      </c>
      <c r="D18" s="26">
        <v>4</v>
      </c>
      <c r="E18" s="26" t="s">
        <v>332</v>
      </c>
      <c r="F18" s="26" t="s">
        <v>64</v>
      </c>
      <c r="G18" s="26" t="s">
        <v>65</v>
      </c>
      <c r="H18" s="26" t="s">
        <v>66</v>
      </c>
      <c r="I18" s="26" t="s">
        <v>67</v>
      </c>
    </row>
    <row r="19" spans="1:9" x14ac:dyDescent="0.3">
      <c r="A19" s="27" t="s">
        <v>170</v>
      </c>
      <c r="B19" s="31" t="s">
        <v>79</v>
      </c>
      <c r="C19" s="27">
        <v>8499</v>
      </c>
      <c r="D19" s="27">
        <v>4</v>
      </c>
      <c r="E19" s="27" t="s">
        <v>333</v>
      </c>
      <c r="F19" s="27" t="s">
        <v>64</v>
      </c>
      <c r="G19" s="27" t="s">
        <v>65</v>
      </c>
      <c r="H19" s="27" t="s">
        <v>66</v>
      </c>
      <c r="I19" s="27" t="s">
        <v>67</v>
      </c>
    </row>
    <row r="20" spans="1:9" x14ac:dyDescent="0.3">
      <c r="A20" s="26" t="s">
        <v>174</v>
      </c>
      <c r="B20" s="30" t="s">
        <v>79</v>
      </c>
      <c r="C20" s="26">
        <v>8499</v>
      </c>
      <c r="D20" s="26">
        <v>4</v>
      </c>
      <c r="E20" s="26" t="s">
        <v>334</v>
      </c>
      <c r="F20" s="26" t="s">
        <v>64</v>
      </c>
      <c r="G20" s="26" t="s">
        <v>65</v>
      </c>
      <c r="H20" s="26" t="s">
        <v>66</v>
      </c>
      <c r="I20" s="26" t="s">
        <v>67</v>
      </c>
    </row>
    <row r="21" spans="1:9" x14ac:dyDescent="0.3">
      <c r="A21" s="27" t="s">
        <v>178</v>
      </c>
      <c r="B21" s="31" t="s">
        <v>79</v>
      </c>
      <c r="C21" s="27">
        <v>8499</v>
      </c>
      <c r="D21" s="27">
        <v>4</v>
      </c>
      <c r="E21" s="27" t="s">
        <v>335</v>
      </c>
      <c r="F21" s="27" t="s">
        <v>64</v>
      </c>
      <c r="G21" s="27" t="s">
        <v>65</v>
      </c>
      <c r="H21" s="27" t="s">
        <v>66</v>
      </c>
      <c r="I21" s="27" t="s">
        <v>67</v>
      </c>
    </row>
    <row r="22" spans="1:9" x14ac:dyDescent="0.3">
      <c r="A22" s="26" t="s">
        <v>182</v>
      </c>
      <c r="B22" s="30" t="s">
        <v>79</v>
      </c>
      <c r="C22" s="26">
        <v>8499</v>
      </c>
      <c r="D22" s="26">
        <v>4</v>
      </c>
      <c r="E22" s="26" t="s">
        <v>336</v>
      </c>
      <c r="F22" s="26" t="s">
        <v>64</v>
      </c>
      <c r="G22" s="26" t="s">
        <v>65</v>
      </c>
      <c r="H22" s="26" t="s">
        <v>66</v>
      </c>
      <c r="I22" s="26" t="s">
        <v>67</v>
      </c>
    </row>
    <row r="23" spans="1:9" x14ac:dyDescent="0.3">
      <c r="A23" s="27" t="s">
        <v>186</v>
      </c>
      <c r="B23" s="31" t="s">
        <v>79</v>
      </c>
      <c r="C23" s="27">
        <v>8499</v>
      </c>
      <c r="D23" s="27">
        <v>4</v>
      </c>
      <c r="E23" s="27" t="s">
        <v>337</v>
      </c>
      <c r="F23" s="27" t="s">
        <v>64</v>
      </c>
      <c r="G23" s="27" t="s">
        <v>65</v>
      </c>
      <c r="H23" s="27" t="s">
        <v>66</v>
      </c>
      <c r="I23" s="27" t="s">
        <v>67</v>
      </c>
    </row>
    <row r="24" spans="1:9" x14ac:dyDescent="0.3">
      <c r="A24" s="26" t="s">
        <v>190</v>
      </c>
      <c r="B24" s="30" t="s">
        <v>79</v>
      </c>
      <c r="C24" s="26">
        <v>8499</v>
      </c>
      <c r="D24" s="26">
        <v>4</v>
      </c>
      <c r="E24" s="26" t="s">
        <v>338</v>
      </c>
      <c r="F24" s="26" t="s">
        <v>64</v>
      </c>
      <c r="G24" s="26" t="s">
        <v>65</v>
      </c>
      <c r="H24" s="26" t="s">
        <v>66</v>
      </c>
      <c r="I24" s="26" t="s">
        <v>67</v>
      </c>
    </row>
    <row r="25" spans="1:9" x14ac:dyDescent="0.3">
      <c r="A25" s="27" t="s">
        <v>194</v>
      </c>
      <c r="B25" s="31" t="s">
        <v>79</v>
      </c>
      <c r="C25" s="27">
        <v>8499</v>
      </c>
      <c r="D25" s="27">
        <v>4</v>
      </c>
      <c r="E25" s="27" t="s">
        <v>339</v>
      </c>
      <c r="F25" s="27" t="s">
        <v>64</v>
      </c>
      <c r="G25" s="27" t="s">
        <v>65</v>
      </c>
      <c r="H25" s="27" t="s">
        <v>66</v>
      </c>
      <c r="I25" s="27" t="s">
        <v>67</v>
      </c>
    </row>
    <row r="26" spans="1:9" x14ac:dyDescent="0.3">
      <c r="A26" s="26" t="s">
        <v>198</v>
      </c>
      <c r="B26" s="30" t="s">
        <v>79</v>
      </c>
      <c r="C26" s="26">
        <v>8499</v>
      </c>
      <c r="D26" s="26">
        <v>4</v>
      </c>
      <c r="E26" s="26" t="s">
        <v>340</v>
      </c>
      <c r="F26" s="26" t="s">
        <v>64</v>
      </c>
      <c r="G26" s="26" t="s">
        <v>65</v>
      </c>
      <c r="H26" s="26" t="s">
        <v>66</v>
      </c>
      <c r="I26" s="26" t="s">
        <v>67</v>
      </c>
    </row>
    <row r="27" spans="1:9" x14ac:dyDescent="0.3">
      <c r="A27" s="27" t="s">
        <v>202</v>
      </c>
      <c r="B27" s="31" t="s">
        <v>79</v>
      </c>
      <c r="C27" s="27">
        <v>8499</v>
      </c>
      <c r="D27" s="27">
        <v>4</v>
      </c>
      <c r="E27" s="27" t="s">
        <v>341</v>
      </c>
      <c r="F27" s="27" t="s">
        <v>64</v>
      </c>
      <c r="G27" s="27" t="s">
        <v>65</v>
      </c>
      <c r="H27" s="27" t="s">
        <v>66</v>
      </c>
      <c r="I27" s="27" t="s">
        <v>67</v>
      </c>
    </row>
    <row r="28" spans="1:9" x14ac:dyDescent="0.3">
      <c r="A28" s="26" t="s">
        <v>206</v>
      </c>
      <c r="B28" s="30" t="s">
        <v>79</v>
      </c>
      <c r="C28" s="26">
        <v>8499</v>
      </c>
      <c r="D28" s="26">
        <v>4</v>
      </c>
      <c r="E28" s="26" t="s">
        <v>342</v>
      </c>
      <c r="F28" s="26" t="s">
        <v>64</v>
      </c>
      <c r="G28" s="26" t="s">
        <v>65</v>
      </c>
      <c r="H28" s="26" t="s">
        <v>66</v>
      </c>
      <c r="I28" s="26" t="s">
        <v>67</v>
      </c>
    </row>
    <row r="29" spans="1:9" x14ac:dyDescent="0.3">
      <c r="A29" s="27" t="s">
        <v>210</v>
      </c>
      <c r="B29" s="31" t="s">
        <v>79</v>
      </c>
      <c r="C29" s="27">
        <v>8499</v>
      </c>
      <c r="D29" s="27">
        <v>4</v>
      </c>
      <c r="E29" s="27" t="s">
        <v>343</v>
      </c>
      <c r="F29" s="27" t="s">
        <v>64</v>
      </c>
      <c r="G29" s="27" t="s">
        <v>65</v>
      </c>
      <c r="H29" s="27" t="s">
        <v>66</v>
      </c>
      <c r="I29" s="27" t="s">
        <v>67</v>
      </c>
    </row>
    <row r="30" spans="1:9" x14ac:dyDescent="0.3">
      <c r="A30" s="26" t="s">
        <v>214</v>
      </c>
      <c r="B30" s="30" t="s">
        <v>79</v>
      </c>
      <c r="C30" s="26">
        <v>8499</v>
      </c>
      <c r="D30" s="26">
        <v>4</v>
      </c>
      <c r="E30" s="26" t="s">
        <v>344</v>
      </c>
      <c r="F30" s="26" t="s">
        <v>64</v>
      </c>
      <c r="G30" s="26" t="s">
        <v>65</v>
      </c>
      <c r="H30" s="26" t="s">
        <v>66</v>
      </c>
      <c r="I30" s="26" t="s">
        <v>67</v>
      </c>
    </row>
    <row r="31" spans="1:9" x14ac:dyDescent="0.3">
      <c r="A31" s="27" t="s">
        <v>218</v>
      </c>
      <c r="B31" s="31" t="s">
        <v>79</v>
      </c>
      <c r="C31" s="27">
        <v>8499</v>
      </c>
      <c r="D31" s="27">
        <v>4</v>
      </c>
      <c r="E31" s="27" t="s">
        <v>345</v>
      </c>
      <c r="F31" s="27" t="s">
        <v>64</v>
      </c>
      <c r="G31" s="27" t="s">
        <v>65</v>
      </c>
      <c r="H31" s="27" t="s">
        <v>66</v>
      </c>
      <c r="I31" s="27" t="s">
        <v>67</v>
      </c>
    </row>
    <row r="32" spans="1:9" x14ac:dyDescent="0.3">
      <c r="A32" s="26" t="s">
        <v>222</v>
      </c>
      <c r="B32" s="30" t="s">
        <v>79</v>
      </c>
      <c r="C32" s="26">
        <v>8499</v>
      </c>
      <c r="D32" s="26">
        <v>4</v>
      </c>
      <c r="E32" s="26" t="s">
        <v>346</v>
      </c>
      <c r="F32" s="26" t="s">
        <v>64</v>
      </c>
      <c r="G32" s="26" t="s">
        <v>65</v>
      </c>
      <c r="H32" s="26" t="s">
        <v>66</v>
      </c>
      <c r="I32" s="26" t="s">
        <v>67</v>
      </c>
    </row>
    <row r="33" spans="1:9" x14ac:dyDescent="0.3">
      <c r="A33" s="27" t="s">
        <v>226</v>
      </c>
      <c r="B33" s="31" t="s">
        <v>79</v>
      </c>
      <c r="C33" s="27">
        <v>8499</v>
      </c>
      <c r="D33" s="27">
        <v>4</v>
      </c>
      <c r="E33" s="27" t="s">
        <v>347</v>
      </c>
      <c r="F33" s="27" t="s">
        <v>64</v>
      </c>
      <c r="G33" s="27" t="s">
        <v>65</v>
      </c>
      <c r="H33" s="27" t="s">
        <v>66</v>
      </c>
      <c r="I33" s="27" t="s">
        <v>67</v>
      </c>
    </row>
    <row r="34" spans="1:9" x14ac:dyDescent="0.3">
      <c r="A34" s="26" t="s">
        <v>230</v>
      </c>
      <c r="B34" s="30" t="s">
        <v>79</v>
      </c>
      <c r="C34" s="26">
        <v>8499</v>
      </c>
      <c r="D34" s="26">
        <v>4</v>
      </c>
      <c r="E34" s="26" t="s">
        <v>348</v>
      </c>
      <c r="F34" s="26" t="s">
        <v>64</v>
      </c>
      <c r="G34" s="26" t="s">
        <v>65</v>
      </c>
      <c r="H34" s="26" t="s">
        <v>66</v>
      </c>
      <c r="I34" s="26" t="s">
        <v>67</v>
      </c>
    </row>
    <row r="35" spans="1:9" x14ac:dyDescent="0.3">
      <c r="A35" s="27" t="s">
        <v>234</v>
      </c>
      <c r="B35" s="31" t="s">
        <v>79</v>
      </c>
      <c r="C35" s="27">
        <v>8499</v>
      </c>
      <c r="D35" s="27">
        <v>4</v>
      </c>
      <c r="E35" s="27" t="s">
        <v>349</v>
      </c>
      <c r="F35" s="27" t="s">
        <v>64</v>
      </c>
      <c r="G35" s="27" t="s">
        <v>65</v>
      </c>
      <c r="H35" s="27" t="s">
        <v>66</v>
      </c>
      <c r="I35" s="27" t="s">
        <v>67</v>
      </c>
    </row>
    <row r="36" spans="1:9" x14ac:dyDescent="0.3">
      <c r="A36" s="26" t="s">
        <v>238</v>
      </c>
      <c r="B36" s="30" t="s">
        <v>79</v>
      </c>
      <c r="C36" s="26">
        <v>8499</v>
      </c>
      <c r="D36" s="26">
        <v>4</v>
      </c>
      <c r="E36" s="26" t="s">
        <v>350</v>
      </c>
      <c r="F36" s="26" t="s">
        <v>64</v>
      </c>
      <c r="G36" s="26" t="s">
        <v>65</v>
      </c>
      <c r="H36" s="26" t="s">
        <v>66</v>
      </c>
      <c r="I36" s="26" t="s">
        <v>67</v>
      </c>
    </row>
    <row r="37" spans="1:9" x14ac:dyDescent="0.3">
      <c r="A37" s="27" t="s">
        <v>242</v>
      </c>
      <c r="B37" s="31" t="s">
        <v>79</v>
      </c>
      <c r="C37" s="27">
        <v>8499</v>
      </c>
      <c r="D37" s="27">
        <v>4</v>
      </c>
      <c r="E37" s="27" t="s">
        <v>351</v>
      </c>
      <c r="F37" s="27" t="s">
        <v>64</v>
      </c>
      <c r="G37" s="27" t="s">
        <v>65</v>
      </c>
      <c r="H37" s="27" t="s">
        <v>66</v>
      </c>
      <c r="I37" s="27" t="s">
        <v>67</v>
      </c>
    </row>
    <row r="38" spans="1:9" x14ac:dyDescent="0.3">
      <c r="A38" s="26" t="s">
        <v>246</v>
      </c>
      <c r="B38" s="30" t="s">
        <v>79</v>
      </c>
      <c r="C38" s="26">
        <v>8499</v>
      </c>
      <c r="D38" s="26">
        <v>4</v>
      </c>
      <c r="E38" s="26" t="s">
        <v>352</v>
      </c>
      <c r="F38" s="26" t="s">
        <v>64</v>
      </c>
      <c r="G38" s="26" t="s">
        <v>65</v>
      </c>
      <c r="H38" s="26" t="s">
        <v>66</v>
      </c>
      <c r="I38" s="26" t="s">
        <v>67</v>
      </c>
    </row>
    <row r="39" spans="1:9" x14ac:dyDescent="0.3">
      <c r="A39" s="27" t="s">
        <v>250</v>
      </c>
      <c r="B39" s="31" t="s">
        <v>79</v>
      </c>
      <c r="C39" s="27">
        <v>8499</v>
      </c>
      <c r="D39" s="27">
        <v>4</v>
      </c>
      <c r="E39" s="27" t="s">
        <v>353</v>
      </c>
      <c r="F39" s="27" t="s">
        <v>64</v>
      </c>
      <c r="G39" s="27" t="s">
        <v>65</v>
      </c>
      <c r="H39" s="27" t="s">
        <v>66</v>
      </c>
      <c r="I39" s="27" t="s">
        <v>67</v>
      </c>
    </row>
    <row r="40" spans="1:9" x14ac:dyDescent="0.3">
      <c r="A40" s="26" t="s">
        <v>254</v>
      </c>
      <c r="B40" s="30" t="s">
        <v>79</v>
      </c>
      <c r="C40" s="26">
        <v>8499</v>
      </c>
      <c r="D40" s="26">
        <v>4</v>
      </c>
      <c r="E40" s="26" t="s">
        <v>354</v>
      </c>
      <c r="F40" s="26" t="s">
        <v>64</v>
      </c>
      <c r="G40" s="26" t="s">
        <v>65</v>
      </c>
      <c r="H40" s="26" t="s">
        <v>66</v>
      </c>
      <c r="I40" s="26" t="s">
        <v>67</v>
      </c>
    </row>
    <row r="41" spans="1:9" x14ac:dyDescent="0.3">
      <c r="A41" s="27" t="s">
        <v>258</v>
      </c>
      <c r="B41" s="31" t="s">
        <v>79</v>
      </c>
      <c r="C41" s="27">
        <v>8499</v>
      </c>
      <c r="D41" s="27">
        <v>4</v>
      </c>
      <c r="E41" s="27" t="s">
        <v>355</v>
      </c>
      <c r="F41" s="27" t="s">
        <v>64</v>
      </c>
      <c r="G41" s="27" t="s">
        <v>65</v>
      </c>
      <c r="H41" s="27" t="s">
        <v>66</v>
      </c>
      <c r="I41" s="27" t="s">
        <v>67</v>
      </c>
    </row>
    <row r="42" spans="1:9" x14ac:dyDescent="0.3">
      <c r="A42" s="26" t="s">
        <v>262</v>
      </c>
      <c r="B42" s="30" t="s">
        <v>79</v>
      </c>
      <c r="C42" s="26">
        <v>8499</v>
      </c>
      <c r="D42" s="26">
        <v>4</v>
      </c>
      <c r="E42" s="26" t="s">
        <v>356</v>
      </c>
      <c r="F42" s="26" t="s">
        <v>64</v>
      </c>
      <c r="G42" s="26" t="s">
        <v>65</v>
      </c>
      <c r="H42" s="26" t="s">
        <v>66</v>
      </c>
      <c r="I42" s="26" t="s">
        <v>67</v>
      </c>
    </row>
    <row r="43" spans="1:9" x14ac:dyDescent="0.3">
      <c r="A43" s="27" t="s">
        <v>266</v>
      </c>
      <c r="B43" s="31" t="s">
        <v>79</v>
      </c>
      <c r="C43" s="27">
        <v>8499</v>
      </c>
      <c r="D43" s="27">
        <v>4</v>
      </c>
      <c r="E43" s="27" t="s">
        <v>357</v>
      </c>
      <c r="F43" s="27" t="s">
        <v>64</v>
      </c>
      <c r="G43" s="27" t="s">
        <v>65</v>
      </c>
      <c r="H43" s="27" t="s">
        <v>66</v>
      </c>
      <c r="I43" s="27" t="s">
        <v>67</v>
      </c>
    </row>
    <row r="44" spans="1:9" x14ac:dyDescent="0.3">
      <c r="A44" s="26" t="s">
        <v>270</v>
      </c>
      <c r="B44" s="30" t="s">
        <v>79</v>
      </c>
      <c r="C44" s="26">
        <v>8499</v>
      </c>
      <c r="D44" s="26">
        <v>4</v>
      </c>
      <c r="E44" s="26" t="s">
        <v>358</v>
      </c>
      <c r="F44" s="26" t="s">
        <v>64</v>
      </c>
      <c r="G44" s="26" t="s">
        <v>65</v>
      </c>
      <c r="H44" s="26" t="s">
        <v>66</v>
      </c>
      <c r="I44" s="26" t="s">
        <v>67</v>
      </c>
    </row>
    <row r="45" spans="1:9" x14ac:dyDescent="0.3">
      <c r="A45" s="27" t="s">
        <v>274</v>
      </c>
      <c r="B45" s="31" t="s">
        <v>79</v>
      </c>
      <c r="C45" s="27">
        <v>8499</v>
      </c>
      <c r="D45" s="27">
        <v>4</v>
      </c>
      <c r="E45" s="27" t="s">
        <v>359</v>
      </c>
      <c r="F45" s="27" t="s">
        <v>64</v>
      </c>
      <c r="G45" s="27" t="s">
        <v>65</v>
      </c>
      <c r="H45" s="27" t="s">
        <v>66</v>
      </c>
      <c r="I45" s="27" t="s">
        <v>67</v>
      </c>
    </row>
    <row r="46" spans="1:9" x14ac:dyDescent="0.3">
      <c r="A46" s="26" t="s">
        <v>278</v>
      </c>
      <c r="B46" s="30" t="s">
        <v>79</v>
      </c>
      <c r="C46" s="26">
        <v>8499</v>
      </c>
      <c r="D46" s="26">
        <v>4</v>
      </c>
      <c r="E46" s="26" t="s">
        <v>360</v>
      </c>
      <c r="F46" s="26" t="s">
        <v>64</v>
      </c>
      <c r="G46" s="26" t="s">
        <v>65</v>
      </c>
      <c r="H46" s="26" t="s">
        <v>66</v>
      </c>
      <c r="I46" s="26" t="s">
        <v>67</v>
      </c>
    </row>
    <row r="47" spans="1:9" x14ac:dyDescent="0.3">
      <c r="A47" s="27" t="s">
        <v>282</v>
      </c>
      <c r="B47" s="31" t="s">
        <v>79</v>
      </c>
      <c r="C47" s="27">
        <v>8499</v>
      </c>
      <c r="D47" s="27">
        <v>4</v>
      </c>
      <c r="E47" s="27" t="s">
        <v>361</v>
      </c>
      <c r="F47" s="27" t="s">
        <v>64</v>
      </c>
      <c r="G47" s="27" t="s">
        <v>65</v>
      </c>
      <c r="H47" s="27" t="s">
        <v>66</v>
      </c>
      <c r="I47" s="27" t="s">
        <v>67</v>
      </c>
    </row>
    <row r="48" spans="1:9" x14ac:dyDescent="0.3">
      <c r="A48" s="26" t="s">
        <v>286</v>
      </c>
      <c r="B48" s="30" t="s">
        <v>79</v>
      </c>
      <c r="C48" s="26">
        <v>8499</v>
      </c>
      <c r="D48" s="26">
        <v>4</v>
      </c>
      <c r="E48" s="26" t="s">
        <v>362</v>
      </c>
      <c r="F48" s="26" t="s">
        <v>64</v>
      </c>
      <c r="G48" s="26" t="s">
        <v>65</v>
      </c>
      <c r="H48" s="26" t="s">
        <v>66</v>
      </c>
      <c r="I48" s="26" t="s">
        <v>67</v>
      </c>
    </row>
    <row r="49" spans="1:9" x14ac:dyDescent="0.3">
      <c r="A49" s="27" t="s">
        <v>290</v>
      </c>
      <c r="B49" s="31" t="s">
        <v>79</v>
      </c>
      <c r="C49" s="27">
        <v>8499</v>
      </c>
      <c r="D49" s="27">
        <v>4</v>
      </c>
      <c r="E49" s="27" t="s">
        <v>363</v>
      </c>
      <c r="F49" s="27" t="s">
        <v>64</v>
      </c>
      <c r="G49" s="27" t="s">
        <v>65</v>
      </c>
      <c r="H49" s="27" t="s">
        <v>66</v>
      </c>
      <c r="I49" s="27" t="s">
        <v>67</v>
      </c>
    </row>
    <row r="50" spans="1:9" ht="15" thickBot="1" x14ac:dyDescent="0.35">
      <c r="A50" s="28" t="s">
        <v>294</v>
      </c>
      <c r="B50" s="32" t="s">
        <v>79</v>
      </c>
      <c r="C50" s="28">
        <v>8499</v>
      </c>
      <c r="D50" s="28">
        <v>4</v>
      </c>
      <c r="E50" s="28" t="s">
        <v>364</v>
      </c>
      <c r="F50" s="28" t="s">
        <v>64</v>
      </c>
      <c r="G50" s="28" t="s">
        <v>65</v>
      </c>
      <c r="H50" s="28" t="s">
        <v>66</v>
      </c>
      <c r="I50" s="28" t="s">
        <v>67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Invoice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Suman Adhikary</dc:creator>
  <cp:lastModifiedBy>Suman Adhikary</cp:lastModifiedBy>
  <cp:lastPrinted>2024-12-25T13:50:10Z</cp:lastPrinted>
  <dcterms:created xsi:type="dcterms:W3CDTF">2024-12-17T18:32:50Z</dcterms:created>
  <dcterms:modified xsi:type="dcterms:W3CDTF">2024-12-25T17:56:12Z</dcterms:modified>
</cp:coreProperties>
</file>